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LB\MA2\Q2\Supply Chain Performance Analytics\Business-Case-NutryWell\Info_W3\"/>
    </mc:Choice>
  </mc:AlternateContent>
  <xr:revisionPtr revIDLastSave="0" documentId="13_ncr:1_{9D857DA1-69BD-4D0F-91A9-814C88790ED2}" xr6:coauthVersionLast="47" xr6:coauthVersionMax="47" xr10:uidLastSave="{00000000-0000-0000-0000-000000000000}"/>
  <bookViews>
    <workbookView xWindow="-110" yWindow="-110" windowWidth="19420" windowHeight="11020" firstSheet="3" activeTab="4" xr2:uid="{AF2A3348-3CF8-4F20-8540-295153672AF7}"/>
  </bookViews>
  <sheets>
    <sheet name="GUIDE" sheetId="7" r:id="rId1"/>
    <sheet name="PRODUCTION_SITES" sheetId="2" r:id="rId2"/>
    <sheet name="INNOVATION_PIPELINE" sheetId="1" r:id="rId3"/>
    <sheet name="ACQUISITION_PORTFOLIO" sheetId="3" r:id="rId4"/>
    <sheet name="LEAD_TIME_COMPONENTS" sheetId="4" r:id="rId5"/>
    <sheet name="PURCHASE_ORDER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alcChain>
</file>

<file path=xl/sharedStrings.xml><?xml version="1.0" encoding="utf-8"?>
<sst xmlns="http://schemas.openxmlformats.org/spreadsheetml/2006/main" count="2587" uniqueCount="667">
  <si>
    <t>SKU</t>
  </si>
  <si>
    <t>Product Name</t>
  </si>
  <si>
    <t>Launch Date</t>
  </si>
  <si>
    <t>Sub-Category</t>
  </si>
  <si>
    <t>Selling Price EUR</t>
  </si>
  <si>
    <t>Gross Margin %</t>
  </si>
  <si>
    <t>Seasonality</t>
  </si>
  <si>
    <t>Planned Volume (Units/Month)</t>
  </si>
  <si>
    <t>Uncertainty Level</t>
  </si>
  <si>
    <t>Included in Orders Dataset</t>
  </si>
  <si>
    <t>Notes</t>
  </si>
  <si>
    <t>IN-VEGAN1K</t>
  </si>
  <si>
    <t>Vegan Protein 1kg</t>
  </si>
  <si>
    <t>Protein</t>
  </si>
  <si>
    <t>summer</t>
  </si>
  <si>
    <t>Very high</t>
  </si>
  <si>
    <t>FALSE</t>
  </si>
  <si>
    <t>Growth pipeline only (no sales yet).</t>
  </si>
  <si>
    <t>IN-IMMPLUS</t>
  </si>
  <si>
    <t>Immunity Booster Advanced</t>
  </si>
  <si>
    <t>Immunity</t>
  </si>
  <si>
    <t>winter_strong</t>
  </si>
  <si>
    <t>High</t>
  </si>
  <si>
    <t>IN-OMEGA2</t>
  </si>
  <si>
    <t>Omega 3 Triple Action+</t>
  </si>
  <si>
    <t>Omega</t>
  </si>
  <si>
    <t>flat</t>
  </si>
  <si>
    <t>Medium</t>
  </si>
  <si>
    <t>Site Code</t>
  </si>
  <si>
    <t>Location</t>
  </si>
  <si>
    <t>Type</t>
  </si>
  <si>
    <t>Specialty</t>
  </si>
  <si>
    <t>Capacity</t>
  </si>
  <si>
    <t>Key Constraints</t>
  </si>
  <si>
    <t>PL-01</t>
  </si>
  <si>
    <t>Poland</t>
  </si>
  <si>
    <t>Internal</t>
  </si>
  <si>
    <t>Tablets &amp; Capsules</t>
  </si>
  <si>
    <t>Saturation Q4</t>
  </si>
  <si>
    <t>DE-02</t>
  </si>
  <si>
    <t>Germany</t>
  </si>
  <si>
    <t>Premium capsules</t>
  </si>
  <si>
    <t>Higher cost</t>
  </si>
  <si>
    <t>FR-03</t>
  </si>
  <si>
    <t>France</t>
  </si>
  <si>
    <t>Gummies</t>
  </si>
  <si>
    <t>IT-04</t>
  </si>
  <si>
    <t>Italy</t>
  </si>
  <si>
    <t>CMO</t>
  </si>
  <si>
    <t>Powders &amp; kits</t>
  </si>
  <si>
    <t>Flexible</t>
  </si>
  <si>
    <t>High MOQ</t>
  </si>
  <si>
    <t>ES-05</t>
  </si>
  <si>
    <t>Spain</t>
  </si>
  <si>
    <t>Liquids &amp; mixes</t>
  </si>
  <si>
    <t>Limited</t>
  </si>
  <si>
    <t>Long lead time</t>
  </si>
  <si>
    <t>NL-06</t>
  </si>
  <si>
    <t>Netherlands</t>
  </si>
  <si>
    <t>Packaging &amp; assembly</t>
  </si>
  <si>
    <t>Depends upstream</t>
  </si>
  <si>
    <t>BE-07</t>
  </si>
  <si>
    <t>Belgium</t>
  </si>
  <si>
    <t>Internal (acquired)</t>
  </si>
  <si>
    <t>Sports powders</t>
  </si>
  <si>
    <t>Ramp-up after acquisition</t>
  </si>
  <si>
    <t>CZ-09</t>
  </si>
  <si>
    <t>Czechia</t>
  </si>
  <si>
    <t>Bars &amp; co-packing</t>
  </si>
  <si>
    <t>Low cost</t>
  </si>
  <si>
    <t>FR-10</t>
  </si>
  <si>
    <t>CMO (new)</t>
  </si>
  <si>
    <t>Stick packs</t>
  </si>
  <si>
    <t>MOQ sensitive</t>
  </si>
  <si>
    <t>Range</t>
  </si>
  <si>
    <t>Format</t>
  </si>
  <si>
    <t>Net Weight kg</t>
  </si>
  <si>
    <t>Shelf Life (months)</t>
  </si>
  <si>
    <t>Standard Cost EUR</t>
  </si>
  <si>
    <t>Primary Plant</t>
  </si>
  <si>
    <t>Primary DC</t>
  </si>
  <si>
    <t>Commercial Start Date</t>
  </si>
  <si>
    <t>Forecast Monthly Demand (units)</t>
  </si>
  <si>
    <t>Forecast Year 1 Demand (units)</t>
  </si>
  <si>
    <t>SP-BAR</t>
  </si>
  <si>
    <t>Protein Bar Box (12)</t>
  </si>
  <si>
    <t>Sport</t>
  </si>
  <si>
    <t>Snack</t>
  </si>
  <si>
    <t>12 units</t>
  </si>
  <si>
    <t>BE-DC3</t>
  </si>
  <si>
    <t>Acquired portfolio; commercialization not started yet (therefore not present in sales data).</t>
  </si>
  <si>
    <t>SP-BCAA</t>
  </si>
  <si>
    <t>BCAA Recovery 300g</t>
  </si>
  <si>
    <t>Recovery</t>
  </si>
  <si>
    <t>Powder</t>
  </si>
  <si>
    <t>summer_mild</t>
  </si>
  <si>
    <t>SP-CREA</t>
  </si>
  <si>
    <t>Creatine Monohydrate 300g</t>
  </si>
  <si>
    <t>Performance</t>
  </si>
  <si>
    <t>SP-GAIN</t>
  </si>
  <si>
    <t>Mass Gainer 2kg</t>
  </si>
  <si>
    <t>Mass</t>
  </si>
  <si>
    <t>SP-ISO</t>
  </si>
  <si>
    <t>Isotonic Drink Mix 600g</t>
  </si>
  <si>
    <t>Hydration</t>
  </si>
  <si>
    <t>SP-PREW</t>
  </si>
  <si>
    <t>Pre-Workout Booster 400g</t>
  </si>
  <si>
    <t>summer_strong</t>
  </si>
  <si>
    <t>SP-WHEY</t>
  </si>
  <si>
    <t>Whey Protein Premium 1kg</t>
  </si>
  <si>
    <t>SP-WHEY2</t>
  </si>
  <si>
    <t>Whey Protein Premium 2kg</t>
  </si>
  <si>
    <t>Primary Production Site</t>
  </si>
  <si>
    <t>Production Lead Time (days)</t>
  </si>
  <si>
    <t>QA Release Lead Time (days)</t>
  </si>
  <si>
    <t>Plant → DC Shipping Lead Time (days)</t>
  </si>
  <si>
    <t>NW-COLL</t>
  </si>
  <si>
    <t>Collagen Powder 300g</t>
  </si>
  <si>
    <t>BE-DC2</t>
  </si>
  <si>
    <t>NW-DETOX</t>
  </si>
  <si>
    <t>Detox Program 7 Days</t>
  </si>
  <si>
    <t>NW-ENERGY</t>
  </si>
  <si>
    <t>Energy Boost Liquid (10)</t>
  </si>
  <si>
    <t>NW-HYDR</t>
  </si>
  <si>
    <t>Hydration Electrolytes</t>
  </si>
  <si>
    <t>NW-IMMUNO</t>
  </si>
  <si>
    <t>Immunity Booster</t>
  </si>
  <si>
    <t>BE-DC1</t>
  </si>
  <si>
    <t>NW-MAG</t>
  </si>
  <si>
    <t>Magnesium Calm</t>
  </si>
  <si>
    <t>NW-MULTI</t>
  </si>
  <si>
    <t>Multivitamin Daily</t>
  </si>
  <si>
    <t>NW-OMEGA</t>
  </si>
  <si>
    <t>Omega 3 Triple Action</t>
  </si>
  <si>
    <t>NW-SLEEP</t>
  </si>
  <si>
    <t>Sleep Support Gummies</t>
  </si>
  <si>
    <t>NW-VITC</t>
  </si>
  <si>
    <t>Vitamin C 1000mg</t>
  </si>
  <si>
    <t>NW-VITD</t>
  </si>
  <si>
    <t>Vitamin D3 2000IU</t>
  </si>
  <si>
    <t>NW-ZINC</t>
  </si>
  <si>
    <t>Zinc Immunity</t>
  </si>
  <si>
    <t>NW-9010</t>
  </si>
  <si>
    <t>Protein Blend 1kg</t>
  </si>
  <si>
    <t>NW-9011</t>
  </si>
  <si>
    <t>Ashwagandha Balance (60 caps)</t>
  </si>
  <si>
    <t>NW-9012</t>
  </si>
  <si>
    <t>Vitamin B12 Energy (90 tabs)</t>
  </si>
  <si>
    <t>NW-9013</t>
  </si>
  <si>
    <t>Iron + Vitamin C (60 tabs)</t>
  </si>
  <si>
    <t>NW-9014</t>
  </si>
  <si>
    <t>Prebiotic Fiber Sachets (30x10g)</t>
  </si>
  <si>
    <t>PO ID</t>
  </si>
  <si>
    <t>PO Date</t>
  </si>
  <si>
    <t>Month</t>
  </si>
  <si>
    <t>Purchase Multiple (units)</t>
  </si>
  <si>
    <t>Quantity Purchased (units)</t>
  </si>
  <si>
    <t>Unit Cost EUR</t>
  </si>
  <si>
    <t>Total Cost EUR</t>
  </si>
  <si>
    <t>Production Site</t>
  </si>
  <si>
    <t>Destination DC</t>
  </si>
  <si>
    <t>Goods Receipt Date</t>
  </si>
  <si>
    <t>PO-202307-00001</t>
  </si>
  <si>
    <t>2023-07</t>
  </si>
  <si>
    <t>PO-202307-00002</t>
  </si>
  <si>
    <t>PO-202307-00003</t>
  </si>
  <si>
    <t>PO-202307-00004</t>
  </si>
  <si>
    <t>PO-202307-00005</t>
  </si>
  <si>
    <t>PO-202307-00006</t>
  </si>
  <si>
    <t>PO-202307-00007</t>
  </si>
  <si>
    <t>PO-202307-00008</t>
  </si>
  <si>
    <t>PO-202307-00009</t>
  </si>
  <si>
    <t>PO-202307-00010</t>
  </si>
  <si>
    <t>PO-202307-00011</t>
  </si>
  <si>
    <t>PO-202307-00012</t>
  </si>
  <si>
    <t>PO-202307-00013</t>
  </si>
  <si>
    <t>PO-202307-00014</t>
  </si>
  <si>
    <t>PO-202307-00015</t>
  </si>
  <si>
    <t>PO-202307-00016</t>
  </si>
  <si>
    <t>PO-202307-00017</t>
  </si>
  <si>
    <t>PO-202308-00018</t>
  </si>
  <si>
    <t>2023-08</t>
  </si>
  <si>
    <t>PO-202308-00019</t>
  </si>
  <si>
    <t>PO-202308-00020</t>
  </si>
  <si>
    <t>PO-202308-00021</t>
  </si>
  <si>
    <t>PO-202308-00022</t>
  </si>
  <si>
    <t>PO-202308-00023</t>
  </si>
  <si>
    <t>PO-202308-00024</t>
  </si>
  <si>
    <t>PO-202308-00025</t>
  </si>
  <si>
    <t>PO-202308-00026</t>
  </si>
  <si>
    <t>PO-202308-00027</t>
  </si>
  <si>
    <t>PO-202308-00028</t>
  </si>
  <si>
    <t>PO-202308-00029</t>
  </si>
  <si>
    <t>PO-202308-00030</t>
  </si>
  <si>
    <t>PO-202308-00031</t>
  </si>
  <si>
    <t>PO-202308-00032</t>
  </si>
  <si>
    <t>PO-202308-00033</t>
  </si>
  <si>
    <t>PO-202308-00034</t>
  </si>
  <si>
    <t>PO-202309-00035</t>
  </si>
  <si>
    <t>2023-09</t>
  </si>
  <si>
    <t>PO-202309-00036</t>
  </si>
  <si>
    <t>PO-202309-00037</t>
  </si>
  <si>
    <t>PO-202309-00038</t>
  </si>
  <si>
    <t>PO-202309-00039</t>
  </si>
  <si>
    <t>PO-202309-00040</t>
  </si>
  <si>
    <t>PO-202309-00041</t>
  </si>
  <si>
    <t>PO-202309-00042</t>
  </si>
  <si>
    <t>PO-202309-00043</t>
  </si>
  <si>
    <t>PO-202309-00044</t>
  </si>
  <si>
    <t>PO-202309-00045</t>
  </si>
  <si>
    <t>PO-202309-00046</t>
  </si>
  <si>
    <t>PO-202309-00047</t>
  </si>
  <si>
    <t>PO-202309-00048</t>
  </si>
  <si>
    <t>PO-202309-00049</t>
  </si>
  <si>
    <t>PO-202309-00050</t>
  </si>
  <si>
    <t>PO-202309-00051</t>
  </si>
  <si>
    <t>PO-202310-00052</t>
  </si>
  <si>
    <t>2023-10</t>
  </si>
  <si>
    <t>PO-202310-00053</t>
  </si>
  <si>
    <t>PO-202310-00054</t>
  </si>
  <si>
    <t>PO-202310-00055</t>
  </si>
  <si>
    <t>PO-202310-00056</t>
  </si>
  <si>
    <t>PO-202310-00057</t>
  </si>
  <si>
    <t>PO-202310-00058</t>
  </si>
  <si>
    <t>PO-202310-00059</t>
  </si>
  <si>
    <t>PO-202310-00060</t>
  </si>
  <si>
    <t>PO-202310-00061</t>
  </si>
  <si>
    <t>PO-202310-00062</t>
  </si>
  <si>
    <t>PO-202310-00063</t>
  </si>
  <si>
    <t>PO-202310-00064</t>
  </si>
  <si>
    <t>PO-202310-00065</t>
  </si>
  <si>
    <t>PO-202310-00066</t>
  </si>
  <si>
    <t>PO-202310-00067</t>
  </si>
  <si>
    <t>PO-202310-00068</t>
  </si>
  <si>
    <t>PO-202311-00069</t>
  </si>
  <si>
    <t>2023-11</t>
  </si>
  <si>
    <t>PO-202311-00070</t>
  </si>
  <si>
    <t>PO-202311-00071</t>
  </si>
  <si>
    <t>PO-202311-00072</t>
  </si>
  <si>
    <t>PO-202311-00073</t>
  </si>
  <si>
    <t>PO-202311-00074</t>
  </si>
  <si>
    <t>PO-202311-00075</t>
  </si>
  <si>
    <t>PO-202311-00076</t>
  </si>
  <si>
    <t>PO-202311-00077</t>
  </si>
  <si>
    <t>PO-202311-00078</t>
  </si>
  <si>
    <t>PO-202311-00079</t>
  </si>
  <si>
    <t>PO-202311-00080</t>
  </si>
  <si>
    <t>PO-202311-00081</t>
  </si>
  <si>
    <t>PO-202311-00082</t>
  </si>
  <si>
    <t>PO-202311-00083</t>
  </si>
  <si>
    <t>PO-202311-00084</t>
  </si>
  <si>
    <t>PO-202311-00085</t>
  </si>
  <si>
    <t>PO-202312-00086</t>
  </si>
  <si>
    <t>2023-12</t>
  </si>
  <si>
    <t>PO-202312-00087</t>
  </si>
  <si>
    <t>PO-202312-00088</t>
  </si>
  <si>
    <t>PO-202312-00089</t>
  </si>
  <si>
    <t>PO-202312-00090</t>
  </si>
  <si>
    <t>PO-202312-00091</t>
  </si>
  <si>
    <t>PO-202312-00092</t>
  </si>
  <si>
    <t>PO-202312-00093</t>
  </si>
  <si>
    <t>PO-202312-00094</t>
  </si>
  <si>
    <t>PO-202312-00095</t>
  </si>
  <si>
    <t>PO-202312-00096</t>
  </si>
  <si>
    <t>PO-202312-00097</t>
  </si>
  <si>
    <t>PO-202312-00098</t>
  </si>
  <si>
    <t>PO-202312-00099</t>
  </si>
  <si>
    <t>PO-202312-00100</t>
  </si>
  <si>
    <t>PO-202312-00101</t>
  </si>
  <si>
    <t>PO-202312-00102</t>
  </si>
  <si>
    <t>PO-202401-00103</t>
  </si>
  <si>
    <t>2024-01</t>
  </si>
  <si>
    <t>PO-202401-00104</t>
  </si>
  <si>
    <t>PO-202401-00105</t>
  </si>
  <si>
    <t>PO-202401-00106</t>
  </si>
  <si>
    <t>PO-202401-00107</t>
  </si>
  <si>
    <t>PO-202401-00108</t>
  </si>
  <si>
    <t>PO-202401-00109</t>
  </si>
  <si>
    <t>PO-202401-00110</t>
  </si>
  <si>
    <t>PO-202401-00111</t>
  </si>
  <si>
    <t>PO-202401-00112</t>
  </si>
  <si>
    <t>PO-202401-00113</t>
  </si>
  <si>
    <t>PO-202401-00114</t>
  </si>
  <si>
    <t>PO-202401-00115</t>
  </si>
  <si>
    <t>PO-202401-00116</t>
  </si>
  <si>
    <t>PO-202401-00117</t>
  </si>
  <si>
    <t>PO-202401-00118</t>
  </si>
  <si>
    <t>PO-202401-00119</t>
  </si>
  <si>
    <t>PO-202402-00120</t>
  </si>
  <si>
    <t>2024-02</t>
  </si>
  <si>
    <t>PO-202402-00121</t>
  </si>
  <si>
    <t>PO-202402-00122</t>
  </si>
  <si>
    <t>PO-202402-00123</t>
  </si>
  <si>
    <t>PO-202402-00124</t>
  </si>
  <si>
    <t>PO-202402-00125</t>
  </si>
  <si>
    <t>PO-202402-00126</t>
  </si>
  <si>
    <t>PO-202402-00127</t>
  </si>
  <si>
    <t>PO-202402-00128</t>
  </si>
  <si>
    <t>PO-202402-00129</t>
  </si>
  <si>
    <t>PO-202402-00130</t>
  </si>
  <si>
    <t>PO-202402-00131</t>
  </si>
  <si>
    <t>PO-202402-00132</t>
  </si>
  <si>
    <t>PO-202402-00133</t>
  </si>
  <si>
    <t>PO-202402-00134</t>
  </si>
  <si>
    <t>PO-202402-00135</t>
  </si>
  <si>
    <t>PO-202402-00136</t>
  </si>
  <si>
    <t>PO-202403-00137</t>
  </si>
  <si>
    <t>2024-03</t>
  </si>
  <si>
    <t>PO-202403-00138</t>
  </si>
  <si>
    <t>PO-202403-00139</t>
  </si>
  <si>
    <t>PO-202403-00140</t>
  </si>
  <si>
    <t>PO-202403-00141</t>
  </si>
  <si>
    <t>PO-202403-00142</t>
  </si>
  <si>
    <t>PO-202403-00143</t>
  </si>
  <si>
    <t>PO-202403-00144</t>
  </si>
  <si>
    <t>PO-202403-00145</t>
  </si>
  <si>
    <t>PO-202403-00146</t>
  </si>
  <si>
    <t>PO-202403-00147</t>
  </si>
  <si>
    <t>PO-202403-00148</t>
  </si>
  <si>
    <t>PO-202403-00149</t>
  </si>
  <si>
    <t>PO-202403-00150</t>
  </si>
  <si>
    <t>PO-202403-00151</t>
  </si>
  <si>
    <t>PO-202403-00152</t>
  </si>
  <si>
    <t>PO-202403-00153</t>
  </si>
  <si>
    <t>PO-202404-00154</t>
  </si>
  <si>
    <t>2024-04</t>
  </si>
  <si>
    <t>PO-202404-00155</t>
  </si>
  <si>
    <t>PO-202404-00156</t>
  </si>
  <si>
    <t>PO-202404-00157</t>
  </si>
  <si>
    <t>PO-202404-00158</t>
  </si>
  <si>
    <t>PO-202404-00159</t>
  </si>
  <si>
    <t>PO-202404-00160</t>
  </si>
  <si>
    <t>PO-202404-00161</t>
  </si>
  <si>
    <t>PO-202404-00162</t>
  </si>
  <si>
    <t>PO-202404-00163</t>
  </si>
  <si>
    <t>PO-202404-00164</t>
  </si>
  <si>
    <t>PO-202404-00165</t>
  </si>
  <si>
    <t>PO-202404-00166</t>
  </si>
  <si>
    <t>PO-202404-00167</t>
  </si>
  <si>
    <t>PO-202404-00168</t>
  </si>
  <si>
    <t>PO-202404-00169</t>
  </si>
  <si>
    <t>PO-202404-00170</t>
  </si>
  <si>
    <t>PO-202405-00171</t>
  </si>
  <si>
    <t>2024-05</t>
  </si>
  <si>
    <t>PO-202405-00172</t>
  </si>
  <si>
    <t>PO-202405-00173</t>
  </si>
  <si>
    <t>PO-202405-00174</t>
  </si>
  <si>
    <t>PO-202405-00175</t>
  </si>
  <si>
    <t>PO-202405-00176</t>
  </si>
  <si>
    <t>PO-202405-00177</t>
  </si>
  <si>
    <t>PO-202405-00178</t>
  </si>
  <si>
    <t>PO-202405-00179</t>
  </si>
  <si>
    <t>PO-202405-00180</t>
  </si>
  <si>
    <t>PO-202405-00181</t>
  </si>
  <si>
    <t>PO-202405-00182</t>
  </si>
  <si>
    <t>PO-202405-00183</t>
  </si>
  <si>
    <t>PO-202405-00184</t>
  </si>
  <si>
    <t>PO-202405-00185</t>
  </si>
  <si>
    <t>PO-202405-00186</t>
  </si>
  <si>
    <t>PO-202405-00187</t>
  </si>
  <si>
    <t>PO-202406-00188</t>
  </si>
  <si>
    <t>2024-06</t>
  </si>
  <si>
    <t>PO-202406-00189</t>
  </si>
  <si>
    <t>PO-202406-00190</t>
  </si>
  <si>
    <t>PO-202406-00191</t>
  </si>
  <si>
    <t>PO-202406-00192</t>
  </si>
  <si>
    <t>PO-202406-00193</t>
  </si>
  <si>
    <t>PO-202406-00194</t>
  </si>
  <si>
    <t>PO-202406-00195</t>
  </si>
  <si>
    <t>PO-202406-00196</t>
  </si>
  <si>
    <t>PO-202406-00197</t>
  </si>
  <si>
    <t>PO-202406-00198</t>
  </si>
  <si>
    <t>PO-202406-00199</t>
  </si>
  <si>
    <t>PO-202406-00200</t>
  </si>
  <si>
    <t>PO-202406-00201</t>
  </si>
  <si>
    <t>PO-202406-00202</t>
  </si>
  <si>
    <t>PO-202406-00203</t>
  </si>
  <si>
    <t>PO-202406-00204</t>
  </si>
  <si>
    <t>PO-202407-00205</t>
  </si>
  <si>
    <t>2024-07</t>
  </si>
  <si>
    <t>PO-202407-00206</t>
  </si>
  <si>
    <t>PO-202407-00207</t>
  </si>
  <si>
    <t>PO-202407-00208</t>
  </si>
  <si>
    <t>PO-202407-00209</t>
  </si>
  <si>
    <t>PO-202407-00210</t>
  </si>
  <si>
    <t>PO-202407-00211</t>
  </si>
  <si>
    <t>PO-202407-00212</t>
  </si>
  <si>
    <t>PO-202407-00213</t>
  </si>
  <si>
    <t>PO-202407-00214</t>
  </si>
  <si>
    <t>PO-202407-00215</t>
  </si>
  <si>
    <t>PO-202407-00216</t>
  </si>
  <si>
    <t>PO-202407-00217</t>
  </si>
  <si>
    <t>PO-202407-00218</t>
  </si>
  <si>
    <t>PO-202407-00219</t>
  </si>
  <si>
    <t>PO-202407-00220</t>
  </si>
  <si>
    <t>PO-202407-00221</t>
  </si>
  <si>
    <t>PO-202408-00222</t>
  </si>
  <si>
    <t>2024-08</t>
  </si>
  <si>
    <t>PO-202408-00223</t>
  </si>
  <si>
    <t>PO-202408-00224</t>
  </si>
  <si>
    <t>PO-202408-00225</t>
  </si>
  <si>
    <t>PO-202408-00226</t>
  </si>
  <si>
    <t>PO-202408-00227</t>
  </si>
  <si>
    <t>PO-202408-00228</t>
  </si>
  <si>
    <t>PO-202408-00229</t>
  </si>
  <si>
    <t>PO-202408-00230</t>
  </si>
  <si>
    <t>PO-202408-00231</t>
  </si>
  <si>
    <t>PO-202408-00232</t>
  </si>
  <si>
    <t>PO-202408-00233</t>
  </si>
  <si>
    <t>PO-202408-00234</t>
  </si>
  <si>
    <t>PO-202408-00235</t>
  </si>
  <si>
    <t>PO-202408-00236</t>
  </si>
  <si>
    <t>PO-202408-00237</t>
  </si>
  <si>
    <t>PO-202408-00238</t>
  </si>
  <si>
    <t>PO-202409-00239</t>
  </si>
  <si>
    <t>2024-09</t>
  </si>
  <si>
    <t>PO-202409-00240</t>
  </si>
  <si>
    <t>PO-202409-00241</t>
  </si>
  <si>
    <t>PO-202409-00242</t>
  </si>
  <si>
    <t>PO-202409-00243</t>
  </si>
  <si>
    <t>PO-202409-00244</t>
  </si>
  <si>
    <t>PO-202409-00245</t>
  </si>
  <si>
    <t>PO-202409-00246</t>
  </si>
  <si>
    <t>PO-202409-00247</t>
  </si>
  <si>
    <t>PO-202409-00248</t>
  </si>
  <si>
    <t>PO-202409-00249</t>
  </si>
  <si>
    <t>PO-202409-00250</t>
  </si>
  <si>
    <t>PO-202409-00251</t>
  </si>
  <si>
    <t>PO-202409-00252</t>
  </si>
  <si>
    <t>PO-202409-00253</t>
  </si>
  <si>
    <t>PO-202409-00254</t>
  </si>
  <si>
    <t>PO-202409-00255</t>
  </si>
  <si>
    <t>PO-202410-00256</t>
  </si>
  <si>
    <t>2024-10</t>
  </si>
  <si>
    <t>PO-202410-00257</t>
  </si>
  <si>
    <t>PO-202410-00258</t>
  </si>
  <si>
    <t>PO-202410-00259</t>
  </si>
  <si>
    <t>PO-202410-00260</t>
  </si>
  <si>
    <t>PO-202410-00261</t>
  </si>
  <si>
    <t>PO-202410-00262</t>
  </si>
  <si>
    <t>PO-202410-00263</t>
  </si>
  <si>
    <t>PO-202410-00264</t>
  </si>
  <si>
    <t>PO-202410-00265</t>
  </si>
  <si>
    <t>PO-202410-00266</t>
  </si>
  <si>
    <t>PO-202410-00267</t>
  </si>
  <si>
    <t>PO-202410-00268</t>
  </si>
  <si>
    <t>PO-202410-00269</t>
  </si>
  <si>
    <t>PO-202410-00270</t>
  </si>
  <si>
    <t>PO-202410-00271</t>
  </si>
  <si>
    <t>PO-202410-00272</t>
  </si>
  <si>
    <t>PO-202411-00273</t>
  </si>
  <si>
    <t>2024-11</t>
  </si>
  <si>
    <t>PO-202411-00274</t>
  </si>
  <si>
    <t>PO-202411-00275</t>
  </si>
  <si>
    <t>PO-202411-00276</t>
  </si>
  <si>
    <t>PO-202411-00277</t>
  </si>
  <si>
    <t>PO-202411-00278</t>
  </si>
  <si>
    <t>PO-202411-00279</t>
  </si>
  <si>
    <t>PO-202411-00280</t>
  </si>
  <si>
    <t>PO-202411-00281</t>
  </si>
  <si>
    <t>PO-202411-00282</t>
  </si>
  <si>
    <t>PO-202411-00283</t>
  </si>
  <si>
    <t>PO-202411-00284</t>
  </si>
  <si>
    <t>PO-202411-00285</t>
  </si>
  <si>
    <t>PO-202411-00286</t>
  </si>
  <si>
    <t>PO-202411-00287</t>
  </si>
  <si>
    <t>PO-202411-00288</t>
  </si>
  <si>
    <t>PO-202411-00289</t>
  </si>
  <si>
    <t>PO-202412-00290</t>
  </si>
  <si>
    <t>2024-12</t>
  </si>
  <si>
    <t>PO-202412-00291</t>
  </si>
  <si>
    <t>PO-202412-00292</t>
  </si>
  <si>
    <t>PO-202412-00293</t>
  </si>
  <si>
    <t>PO-202412-00294</t>
  </si>
  <si>
    <t>PO-202412-00295</t>
  </si>
  <si>
    <t>PO-202412-00296</t>
  </si>
  <si>
    <t>PO-202412-00297</t>
  </si>
  <si>
    <t>PO-202412-00298</t>
  </si>
  <si>
    <t>PO-202412-00299</t>
  </si>
  <si>
    <t>PO-202412-00300</t>
  </si>
  <si>
    <t>PO-202412-00301</t>
  </si>
  <si>
    <t>PO-202412-00302</t>
  </si>
  <si>
    <t>PO-202412-00303</t>
  </si>
  <si>
    <t>PO-202412-00304</t>
  </si>
  <si>
    <t>PO-202412-00305</t>
  </si>
  <si>
    <t>PO-202412-00306</t>
  </si>
  <si>
    <t>PO-202501-00307</t>
  </si>
  <si>
    <t>2025-01</t>
  </si>
  <si>
    <t>PO-202501-00308</t>
  </si>
  <si>
    <t>PO-202501-00309</t>
  </si>
  <si>
    <t>PO-202501-00310</t>
  </si>
  <si>
    <t>PO-202501-00311</t>
  </si>
  <si>
    <t>PO-202501-00312</t>
  </si>
  <si>
    <t>PO-202501-00313</t>
  </si>
  <si>
    <t>PO-202501-00314</t>
  </si>
  <si>
    <t>PO-202501-00315</t>
  </si>
  <si>
    <t>PO-202501-00316</t>
  </si>
  <si>
    <t>PO-202501-00317</t>
  </si>
  <si>
    <t>PO-202501-00318</t>
  </si>
  <si>
    <t>PO-202501-00319</t>
  </si>
  <si>
    <t>PO-202501-00320</t>
  </si>
  <si>
    <t>PO-202501-00321</t>
  </si>
  <si>
    <t>PO-202501-00322</t>
  </si>
  <si>
    <t>PO-202501-00323</t>
  </si>
  <si>
    <t>PO-202502-00324</t>
  </si>
  <si>
    <t>2025-02</t>
  </si>
  <si>
    <t>PO-202502-00325</t>
  </si>
  <si>
    <t>PO-202502-00326</t>
  </si>
  <si>
    <t>PO-202502-00327</t>
  </si>
  <si>
    <t>PO-202502-00328</t>
  </si>
  <si>
    <t>PO-202502-00329</t>
  </si>
  <si>
    <t>PO-202502-00330</t>
  </si>
  <si>
    <t>PO-202502-00331</t>
  </si>
  <si>
    <t>PO-202502-00332</t>
  </si>
  <si>
    <t>PO-202502-00333</t>
  </si>
  <si>
    <t>PO-202502-00334</t>
  </si>
  <si>
    <t>PO-202502-00335</t>
  </si>
  <si>
    <t>PO-202502-00336</t>
  </si>
  <si>
    <t>PO-202502-00337</t>
  </si>
  <si>
    <t>PO-202502-00338</t>
  </si>
  <si>
    <t>PO-202502-00339</t>
  </si>
  <si>
    <t>PO-202502-00340</t>
  </si>
  <si>
    <t>PO-202503-00341</t>
  </si>
  <si>
    <t>2025-03</t>
  </si>
  <si>
    <t>PO-202503-00342</t>
  </si>
  <si>
    <t>PO-202503-00343</t>
  </si>
  <si>
    <t>PO-202503-00344</t>
  </si>
  <si>
    <t>PO-202503-00345</t>
  </si>
  <si>
    <t>PO-202503-00346</t>
  </si>
  <si>
    <t>PO-202503-00347</t>
  </si>
  <si>
    <t>PO-202503-00348</t>
  </si>
  <si>
    <t>PO-202503-00349</t>
  </si>
  <si>
    <t>PO-202503-00350</t>
  </si>
  <si>
    <t>PO-202503-00351</t>
  </si>
  <si>
    <t>PO-202503-00352</t>
  </si>
  <si>
    <t>PO-202503-00353</t>
  </si>
  <si>
    <t>PO-202503-00354</t>
  </si>
  <si>
    <t>PO-202503-00355</t>
  </si>
  <si>
    <t>PO-202503-00356</t>
  </si>
  <si>
    <t>PO-202503-00357</t>
  </si>
  <si>
    <t>PO-202504-00358</t>
  </si>
  <si>
    <t>2025-04</t>
  </si>
  <si>
    <t>PO-202504-00359</t>
  </si>
  <si>
    <t>PO-202504-00360</t>
  </si>
  <si>
    <t>PO-202504-00361</t>
  </si>
  <si>
    <t>PO-202504-00362</t>
  </si>
  <si>
    <t>PO-202504-00363</t>
  </si>
  <si>
    <t>PO-202504-00364</t>
  </si>
  <si>
    <t>PO-202504-00365</t>
  </si>
  <si>
    <t>PO-202504-00366</t>
  </si>
  <si>
    <t>PO-202504-00367</t>
  </si>
  <si>
    <t>PO-202504-00368</t>
  </si>
  <si>
    <t>PO-202504-00369</t>
  </si>
  <si>
    <t>PO-202504-00370</t>
  </si>
  <si>
    <t>PO-202504-00371</t>
  </si>
  <si>
    <t>PO-202504-00372</t>
  </si>
  <si>
    <t>PO-202504-00373</t>
  </si>
  <si>
    <t>PO-202504-00374</t>
  </si>
  <si>
    <t>PO-202505-00375</t>
  </si>
  <si>
    <t>2025-05</t>
  </si>
  <si>
    <t>PO-202505-00376</t>
  </si>
  <si>
    <t>PO-202505-00377</t>
  </si>
  <si>
    <t>PO-202505-00378</t>
  </si>
  <si>
    <t>PO-202505-00379</t>
  </si>
  <si>
    <t>PO-202505-00380</t>
  </si>
  <si>
    <t>PO-202505-00381</t>
  </si>
  <si>
    <t>PO-202505-00382</t>
  </si>
  <si>
    <t>PO-202505-00383</t>
  </si>
  <si>
    <t>PO-202505-00384</t>
  </si>
  <si>
    <t>PO-202505-00385</t>
  </si>
  <si>
    <t>PO-202505-00386</t>
  </si>
  <si>
    <t>PO-202505-00387</t>
  </si>
  <si>
    <t>PO-202505-00388</t>
  </si>
  <si>
    <t>PO-202505-00389</t>
  </si>
  <si>
    <t>PO-202505-00390</t>
  </si>
  <si>
    <t>PO-202505-00391</t>
  </si>
  <si>
    <t>PO-202506-00392</t>
  </si>
  <si>
    <t>2025-06</t>
  </si>
  <si>
    <t>PO-202506-00393</t>
  </si>
  <si>
    <t>PO-202506-00394</t>
  </si>
  <si>
    <t>PO-202506-00395</t>
  </si>
  <si>
    <t>PO-202506-00396</t>
  </si>
  <si>
    <t>PO-202506-00397</t>
  </si>
  <si>
    <t>PO-202506-00398</t>
  </si>
  <si>
    <t>PO-202506-00399</t>
  </si>
  <si>
    <t>PO-202506-00400</t>
  </si>
  <si>
    <t>PO-202506-00401</t>
  </si>
  <si>
    <t>PO-202506-00402</t>
  </si>
  <si>
    <t>PO-202506-00403</t>
  </si>
  <si>
    <t>PO-202506-00404</t>
  </si>
  <si>
    <t>PO-202506-00405</t>
  </si>
  <si>
    <t>PO-202506-00406</t>
  </si>
  <si>
    <t>PO-202506-00407</t>
  </si>
  <si>
    <t>PO-202506-00408</t>
  </si>
  <si>
    <t>PO-202507-00409</t>
  </si>
  <si>
    <t>2025-07</t>
  </si>
  <si>
    <t>PO-202507-00410</t>
  </si>
  <si>
    <t>PO-202507-00411</t>
  </si>
  <si>
    <t>PO-202507-00412</t>
  </si>
  <si>
    <t>PO-202507-00413</t>
  </si>
  <si>
    <t>PO-202507-00414</t>
  </si>
  <si>
    <t>PO-202507-00415</t>
  </si>
  <si>
    <t>PO-202507-00416</t>
  </si>
  <si>
    <t>PO-202507-00417</t>
  </si>
  <si>
    <t>PO-202507-00418</t>
  </si>
  <si>
    <t>PO-202507-00419</t>
  </si>
  <si>
    <t>PO-202507-00420</t>
  </si>
  <si>
    <t>PO-202507-00421</t>
  </si>
  <si>
    <t>PO-202507-00422</t>
  </si>
  <si>
    <t>PO-202507-00423</t>
  </si>
  <si>
    <t>PO-202507-00424</t>
  </si>
  <si>
    <t>PO-202507-00425</t>
  </si>
  <si>
    <t>PO-202508-00426</t>
  </si>
  <si>
    <t>2025-08</t>
  </si>
  <si>
    <t>PO-202508-00427</t>
  </si>
  <si>
    <t>PO-202508-00428</t>
  </si>
  <si>
    <t>PO-202508-00429</t>
  </si>
  <si>
    <t>PO-202508-00430</t>
  </si>
  <si>
    <t>PO-202508-00431</t>
  </si>
  <si>
    <t>PO-202508-00432</t>
  </si>
  <si>
    <t>PO-202508-00433</t>
  </si>
  <si>
    <t>PO-202508-00434</t>
  </si>
  <si>
    <t>PO-202508-00435</t>
  </si>
  <si>
    <t>PO-202508-00436</t>
  </si>
  <si>
    <t>PO-202508-00437</t>
  </si>
  <si>
    <t>PO-202508-00438</t>
  </si>
  <si>
    <t>PO-202508-00439</t>
  </si>
  <si>
    <t>PO-202508-00440</t>
  </si>
  <si>
    <t>PO-202508-00441</t>
  </si>
  <si>
    <t>PO-202508-00442</t>
  </si>
  <si>
    <t>PO-202509-00443</t>
  </si>
  <si>
    <t>2025-09</t>
  </si>
  <si>
    <t>PO-202509-00444</t>
  </si>
  <si>
    <t>PO-202509-00445</t>
  </si>
  <si>
    <t>PO-202509-00446</t>
  </si>
  <si>
    <t>PO-202509-00447</t>
  </si>
  <si>
    <t>PO-202509-00448</t>
  </si>
  <si>
    <t>PO-202509-00449</t>
  </si>
  <si>
    <t>PO-202509-00450</t>
  </si>
  <si>
    <t>PO-202509-00451</t>
  </si>
  <si>
    <t>PO-202509-00452</t>
  </si>
  <si>
    <t>PO-202509-00453</t>
  </si>
  <si>
    <t>PO-202509-00454</t>
  </si>
  <si>
    <t>PO-202509-00455</t>
  </si>
  <si>
    <t>PO-202509-00456</t>
  </si>
  <si>
    <t>PO-202509-00457</t>
  </si>
  <si>
    <t>PO-202509-00458</t>
  </si>
  <si>
    <t>PO-202509-00459</t>
  </si>
  <si>
    <t>PRODUCTION_SITES</t>
  </si>
  <si>
    <t>INNOVATION_PIPELINE</t>
  </si>
  <si>
    <t>ACQUISITION_PORTFOLIO</t>
  </si>
  <si>
    <t>LEAD_TIME_COMPONENTS</t>
  </si>
  <si>
    <t>PURCHASE_ORDERS</t>
  </si>
  <si>
    <t>NutrYWell – Week 3 Dataset (W3) | GUIDE</t>
  </si>
  <si>
    <t>This Week 3 dataset adds the ‘commercial portfolio + supply context’ layer to the case. It complements the Week 1 baseline (ERP historical orders + master data) and helps student teams discuss how future launches, acquired products, and supply constraints may influence Order‑to‑Delivery performance.
Use these tabs to (1) understand what is coming next (innovation pipeline), (2) understand the acquired/new portfolio characteristics and forecast signals, and (3) connect customer promise discussions to production/procurement reality (lead times, sites, purchase orders).</t>
  </si>
  <si>
    <t>What it is: a forward-looking list of innovation products planned for launch. It is designed to help teams discuss upcoming demand patterns, uncertainty, and how launch waves may affect volumes and customer expectations.</t>
  </si>
  <si>
    <t>Key fields to look at:</t>
  </si>
  <si>
    <t>SKU, Launch Date, Sub-Category, Selling Price EUR, Gross Margin %, Seasonality, Planned Volume (Units/Month), Uncertainty Level, Included in Orders Dataset</t>
  </si>
  <si>
    <t>What it is: reference information on products that entered the scope through the acquisition (or new portfolio integration). It combines product attributes with commercial start dates and forecast signals to support portfolio and planning discussions.</t>
  </si>
  <si>
    <t>SKU, Range, Sub-Category, Format, Shelf Life (months), Selling Price EUR, Gross Margin %, Seasonality, Primary Plant, Primary DC, Commercial Start Date, Forecast Monthly Demand (units), Included in Orders Dataset</t>
  </si>
  <si>
    <t>What it is: a simple footprint reference for where products can be produced and what constraints exist at each site. It is used to explain why supply capacity or specialization matters for service commitments.</t>
  </si>
  <si>
    <t>Site Code, Location, Type, Specialty, Capacity, Key Constraints</t>
  </si>
  <si>
    <t>What it is: a lead-time breakdown for supply readiness. It connects products to their primary production site and DC, and splits lead time into production, QA release, and plant-to-DC shipping components.</t>
  </si>
  <si>
    <t>SKU, Primary Production Site, Primary DC, Production Lead Time (days), QA Release Lead Time (days), Plant → DC Shipping Lead Time (days)</t>
  </si>
  <si>
    <t>What it is: a procurement order book extract used as a signal of replenishment behavior. It links SKUs to purchased quantities, unit costs, production sites, destination DCs, and goods receipt dates.</t>
  </si>
  <si>
    <t>PO Date, SKU, Purchase Multiple (units), Quantity Purchased (units), Unit Cost EUR, Production Site, Destination DC, Goods Receipt Date</t>
  </si>
  <si>
    <t>Total time for production and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</si>
</sst>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color theme="1"/>
      <name val="Calibri"/>
      <family val="2"/>
      <scheme val="minor"/>
    </font>
    <font>
      <b/>
      <sz val="11"/>
      <name val="Calibri"/>
      <family val="2"/>
    </font>
    <font>
      <b/>
      <sz val="13.5"/>
      <color theme="1"/>
      <name val="Calibri"/>
      <family val="2"/>
      <scheme val="minor"/>
    </font>
    <font>
      <b/>
      <sz val="18"/>
      <color theme="1"/>
      <name val="Calibri"/>
      <family val="2"/>
      <scheme val="minor"/>
    </font>
    <font>
      <b/>
      <sz val="16"/>
      <color theme="1"/>
      <name val="Calibri"/>
      <family val="2"/>
      <scheme val="minor"/>
    </font>
    <font>
      <b/>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164" fontId="0" fillId="0" borderId="0" xfId="0" applyNumberFormat="1"/>
    <xf numFmtId="0" fontId="0" fillId="0" borderId="0" xfId="0" applyAlignment="1">
      <alignment horizontal="center"/>
    </xf>
    <xf numFmtId="0" fontId="3" fillId="0" borderId="0" xfId="0" applyFont="1" applyAlignment="1">
      <alignment vertical="center"/>
    </xf>
    <xf numFmtId="0" fontId="0" fillId="0" borderId="0" xfId="0" applyAlignment="1">
      <alignment horizontal="left" wrapText="1"/>
    </xf>
    <xf numFmtId="0" fontId="0" fillId="0" borderId="0" xfId="0" applyAlignment="1">
      <alignment horizontal="left"/>
    </xf>
    <xf numFmtId="0" fontId="4" fillId="0" borderId="0" xfId="0" applyFont="1" applyAlignment="1">
      <alignment vertical="center"/>
    </xf>
    <xf numFmtId="0" fontId="1" fillId="0" borderId="0" xfId="0" applyFont="1" applyAlignment="1">
      <alignment horizontal="left" vertical="center" indent="1"/>
    </xf>
    <xf numFmtId="0" fontId="0" fillId="0" borderId="0" xfId="0" applyAlignment="1">
      <alignment horizontal="left" vertical="center" indent="1"/>
    </xf>
    <xf numFmtId="0" fontId="1" fillId="0" borderId="0" xfId="0" applyFont="1"/>
    <xf numFmtId="0" fontId="0" fillId="0" borderId="0" xfId="0" applyAlignment="1">
      <alignment horizontal="left" vertical="center" indent="2"/>
    </xf>
    <xf numFmtId="0" fontId="1" fillId="0" borderId="0" xfId="0" applyFont="1" applyAlignment="1">
      <alignment horizontal="left"/>
    </xf>
    <xf numFmtId="0" fontId="2" fillId="0" borderId="1" xfId="0" applyFont="1" applyBorder="1" applyAlignment="1">
      <alignment horizontal="center" vertical="top"/>
    </xf>
    <xf numFmtId="0" fontId="0" fillId="0" borderId="0" xfId="0" applyAlignment="1">
      <alignment horizontal="left" wrapText="1"/>
    </xf>
    <xf numFmtId="0" fontId="0" fillId="0" borderId="0" xfId="0" applyAlignment="1">
      <alignment horizontal="left" vertical="top" wrapText="1"/>
    </xf>
    <xf numFmtId="0" fontId="5" fillId="0" borderId="0" xfId="0" applyFont="1" applyAlignment="1">
      <alignment horizontal="center" vertical="center"/>
    </xf>
    <xf numFmtId="0" fontId="6" fillId="0" borderId="0" xfId="0" applyFont="1" applyAlignment="1">
      <alignment horizontal="left" wrapText="1"/>
    </xf>
  </cellXfs>
  <cellStyles count="1">
    <cellStyle name="Normal" xfId="0" builtinId="0"/>
  </cellStyles>
  <dxfs count="38">
    <dxf>
      <numFmt numFmtId="0" formatCode="General"/>
      <alignment horizontal="center" vertical="bottom" textRotation="0" wrapText="0" indent="0" justifyLastLine="0" shrinkToFit="0" readingOrder="0"/>
    </dxf>
    <dxf>
      <numFmt numFmtId="164" formatCode="yyyy\-mm\-dd\ hh:mm:ss"/>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hh:mm:ss"/>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hh:mm:ss"/>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571500</xdr:colOff>
      <xdr:row>0</xdr:row>
      <xdr:rowOff>0</xdr:rowOff>
    </xdr:from>
    <xdr:to>
      <xdr:col>5</xdr:col>
      <xdr:colOff>555143</xdr:colOff>
      <xdr:row>2</xdr:row>
      <xdr:rowOff>66675</xdr:rowOff>
    </xdr:to>
    <xdr:pic>
      <xdr:nvPicPr>
        <xdr:cNvPr id="2" name="Image 1">
          <a:extLst>
            <a:ext uri="{FF2B5EF4-FFF2-40B4-BE49-F238E27FC236}">
              <a16:creationId xmlns:a16="http://schemas.microsoft.com/office/drawing/2014/main" id="{7216369F-D8AD-434E-A079-FF113BB985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098" b="33088"/>
        <a:stretch>
          <a:fillRect/>
        </a:stretch>
      </xdr:blipFill>
      <xdr:spPr>
        <a:xfrm>
          <a:off x="571500" y="0"/>
          <a:ext cx="3031643" cy="14192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377E52-640A-4A80-8241-A1319CD5DE5A}" name="Table1" displayName="Table1" ref="A1:F10" totalsRowShown="0" headerRowDxfId="32" headerRowBorderDxfId="31" tableBorderDxfId="30">
  <autoFilter ref="A1:F10" xr:uid="{33377E52-640A-4A80-8241-A1319CD5DE5A}"/>
  <tableColumns count="6">
    <tableColumn id="1" xr3:uid="{F73FBEBD-5428-4AD8-A56D-79E02A5DB96C}" name="Site Code"/>
    <tableColumn id="2" xr3:uid="{C8098BFB-D167-4375-B18C-CEC7A212191C}" name="Location"/>
    <tableColumn id="3" xr3:uid="{E9D54878-4D8F-41B6-AA6B-CE0350FCD12D}" name="Type"/>
    <tableColumn id="4" xr3:uid="{62C9A33A-C8C1-4FB2-979A-FB5299560080}" name="Specialty"/>
    <tableColumn id="5" xr3:uid="{B9831420-0EA1-471D-84AC-91591ED858CB}" name="Capacity"/>
    <tableColumn id="6" xr3:uid="{B155F7EC-E0F1-48C3-8215-F0F3992B1C70}" name="Key Constraints"/>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F8D7A5-2DEA-4B93-9971-3DBB258E4ABE}" name="Table2" displayName="Table2" ref="A1:K4" totalsRowShown="0" headerRowDxfId="29" dataDxfId="27" headerRowBorderDxfId="28" tableBorderDxfId="26">
  <autoFilter ref="A1:K4" xr:uid="{22F8D7A5-2DEA-4B93-9971-3DBB258E4ABE}"/>
  <tableColumns count="11">
    <tableColumn id="1" xr3:uid="{4A92C7EE-DB90-4D27-B3E3-9B45DEF0A476}" name="SKU"/>
    <tableColumn id="2" xr3:uid="{9060CAF8-E340-4D28-930D-5274D8F70297}" name="Product Name"/>
    <tableColumn id="3" xr3:uid="{1669914F-809B-4898-BE69-0DAA483AB37E}" name="Launch Date" dataDxfId="25"/>
    <tableColumn id="4" xr3:uid="{FACB27F2-EFDB-4522-8EAC-C91D8290E1D2}" name="Sub-Category"/>
    <tableColumn id="5" xr3:uid="{77CFED15-0B93-4545-AEAE-365B08C3F307}" name="Selling Price EUR" dataDxfId="24"/>
    <tableColumn id="6" xr3:uid="{91265341-A882-4E94-B1DE-DA77C35B6FA3}" name="Gross Margin %" dataDxfId="23"/>
    <tableColumn id="7" xr3:uid="{24A04D4D-7886-44A3-9D7F-D8A875BB7D6D}" name="Seasonality" dataDxfId="22"/>
    <tableColumn id="8" xr3:uid="{6D8EE34C-4940-4E82-B83B-EA483F1DDDD9}" name="Planned Volume (Units/Month)" dataDxfId="21"/>
    <tableColumn id="9" xr3:uid="{ADEFBB3B-6388-4492-9B66-751F02A55FBF}" name="Uncertainty Level"/>
    <tableColumn id="10" xr3:uid="{2F7824DE-3F9F-4027-92D7-7941E3DD26A5}" name="Included in Orders Dataset" dataDxfId="20"/>
    <tableColumn id="11" xr3:uid="{5BFCBF27-791E-47FE-B15E-D5C107B62108}" name="Notes"/>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4A4F28-FD8E-4285-8781-BDE429E4B4BF}" name="Table3" displayName="Table3" ref="A1:S9" totalsRowShown="0" headerRowDxfId="37" headerRowBorderDxfId="36" tableBorderDxfId="35">
  <autoFilter ref="A1:S9" xr:uid="{044A4F28-FD8E-4285-8781-BDE429E4B4BF}"/>
  <tableColumns count="19">
    <tableColumn id="1" xr3:uid="{6AF2F8DF-1CD5-4C11-BA2F-67F653071559}" name="SKU"/>
    <tableColumn id="2" xr3:uid="{71D4FDE6-760C-4074-B299-AB54F0EF8940}" name="Product Name"/>
    <tableColumn id="3" xr3:uid="{50349EDF-5622-467C-A739-F34DBE395B90}" name="Range"/>
    <tableColumn id="4" xr3:uid="{9CD971A6-0B1B-4E46-BB93-5045B88DEB69}" name="Sub-Category"/>
    <tableColumn id="5" xr3:uid="{6C7BFDA2-EE39-4948-8B7F-ED6D89C3F23D}" name="Format"/>
    <tableColumn id="6" xr3:uid="{DB06EA9E-28B9-4EEA-9557-BF419DC854DF}" name="Net Weight kg"/>
    <tableColumn id="7" xr3:uid="{F7BD1286-382B-4D87-B6B6-6FB90C1D035A}" name="Shelf Life (months)"/>
    <tableColumn id="8" xr3:uid="{43F8A532-2AF0-4D6B-8F33-87370E1498B9}" name="Selling Price EUR"/>
    <tableColumn id="9" xr3:uid="{333E642F-99FF-4CB7-A491-C1FD18F94E9A}" name="Gross Margin %"/>
    <tableColumn id="10" xr3:uid="{457BB6AF-5331-4DA3-BD14-5305641EBDB9}" name="Launch Date" dataDxfId="34"/>
    <tableColumn id="11" xr3:uid="{8F18D877-48F7-4B7A-B2F1-9DA8CD658234}" name="Seasonality"/>
    <tableColumn id="12" xr3:uid="{EC7BE6D8-2613-4682-9FDC-33EC04E2FA51}" name="Standard Cost EUR"/>
    <tableColumn id="13" xr3:uid="{A85859CE-073C-484F-AD69-51F80C534631}" name="Primary Plant"/>
    <tableColumn id="14" xr3:uid="{50F364C1-CF79-40A2-A67E-AF781CAD2862}" name="Primary DC"/>
    <tableColumn id="15" xr3:uid="{DA86CE91-6D9A-459C-AC33-853268F9D6D5}" name="Commercial Start Date" dataDxfId="33"/>
    <tableColumn id="16" xr3:uid="{477D57E6-900E-46E8-AF7E-61AB9BCC3034}" name="Included in Orders Dataset"/>
    <tableColumn id="17" xr3:uid="{9AA0E1EA-88DC-4692-B51D-48DCF4045C79}" name="Notes"/>
    <tableColumn id="18" xr3:uid="{536D19D4-28A6-4ACA-90C3-D132817E154E}" name="Forecast Monthly Demand (units)"/>
    <tableColumn id="19" xr3:uid="{2DD26EB0-C20A-4C72-86FA-201B238AF98B}" name="Forecast Year 1 Demand (units)"/>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EDAB05-8C82-44D7-ACAB-A3DB37D5C0A4}" name="Table4" displayName="Table4" ref="A1:H18" totalsRowShown="0" headerRowDxfId="19" dataDxfId="17" headerRowBorderDxfId="18" tableBorderDxfId="16">
  <autoFilter ref="A1:H18" xr:uid="{2EEDAB05-8C82-44D7-ACAB-A3DB37D5C0A4}"/>
  <tableColumns count="8">
    <tableColumn id="1" xr3:uid="{C400AC16-06F3-40CD-8CD0-8199522E3567}" name="SKU"/>
    <tableColumn id="2" xr3:uid="{8745CEAB-ECBB-45FD-B722-F2A10C3D1B92}" name="Product Name"/>
    <tableColumn id="3" xr3:uid="{0E4579E5-FB29-42B0-85E6-AEC31B8A6E84}" name="Primary Production Site"/>
    <tableColumn id="4" xr3:uid="{C8DE4DB7-792C-4C24-81A0-8483C84B7E7C}" name="Primary DC"/>
    <tableColumn id="5" xr3:uid="{BC9C5850-1157-4602-A654-9214E1B7E529}" name="Production Lead Time (days)" dataDxfId="15"/>
    <tableColumn id="6" xr3:uid="{E302385E-AC2D-4E25-9495-225B1E51368E}" name="QA Release Lead Time (days)" dataDxfId="14"/>
    <tableColumn id="7" xr3:uid="{E097725B-E503-4893-A34D-8C4AE99896E8}" name="Plant → DC Shipping Lead Time (days)" dataDxfId="13"/>
    <tableColumn id="8" xr3:uid="{AE6C2FA0-D663-4BC9-A18F-4FFDAF4B25F8}" name="Total time for production and delivery" dataDxfId="0">
      <calculatedColumnFormula>SUM(Table4[[#This Row],[Production Lead Time (days)]:[Plant → DC Shipping Lead Time (days)]])</calculatedColumnFormula>
    </tableColumn>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345939-7FAB-4ADA-9481-68FE8BE0F40E}" name="Table5" displayName="Table5" ref="A1:K460" totalsRowShown="0" headerRowDxfId="12" dataDxfId="10" headerRowBorderDxfId="11" tableBorderDxfId="9">
  <autoFilter ref="A1:K460" xr:uid="{C7345939-7FAB-4ADA-9481-68FE8BE0F40E}"/>
  <tableColumns count="11">
    <tableColumn id="1" xr3:uid="{DD590433-1C54-46AE-8219-18A1231B0B39}" name="PO ID"/>
    <tableColumn id="2" xr3:uid="{7E126EF3-1DF7-43B1-B8F1-791ED9A07343}" name="PO Date" dataDxfId="8"/>
    <tableColumn id="3" xr3:uid="{697097E2-39D6-4606-90F2-96D8E240B847}" name="Month"/>
    <tableColumn id="4" xr3:uid="{1AE665F1-7853-4DA8-832F-D1AE2A3E409E}" name="SKU"/>
    <tableColumn id="5" xr3:uid="{C5E4B1C4-14AC-4FBE-B284-8CCCDA8D6102}" name="Purchase Multiple (units)" dataDxfId="7"/>
    <tableColumn id="6" xr3:uid="{E1BDCE76-D698-495A-BA8C-958E18EB7A61}" name="Quantity Purchased (units)" dataDxfId="6"/>
    <tableColumn id="7" xr3:uid="{4EA2E67A-A672-4BD1-9952-04B18A8F1068}" name="Unit Cost EUR" dataDxfId="5"/>
    <tableColumn id="8" xr3:uid="{E4FA2456-CB81-4BD0-810E-713FBB191A21}" name="Total Cost EUR" dataDxfId="4"/>
    <tableColumn id="9" xr3:uid="{76D6985B-9241-493C-9DF9-167597AA105A}" name="Production Site" dataDxfId="3"/>
    <tableColumn id="10" xr3:uid="{1073817C-B1CC-49D8-A60E-37F865BF321F}" name="Destination DC" dataDxfId="2"/>
    <tableColumn id="11" xr3:uid="{D3F5AEB1-51C4-4486-9AD3-1623B145DAE3}" name="Goods Receipt Date"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6FEF-2FAE-4BE9-A353-FBC3C431868E}">
  <dimension ref="B1:AC106"/>
  <sheetViews>
    <sheetView showGridLines="0" workbookViewId="0">
      <selection activeCell="C28" sqref="C28"/>
    </sheetView>
  </sheetViews>
  <sheetFormatPr defaultColWidth="9.1796875" defaultRowHeight="14.5" x14ac:dyDescent="0.35"/>
  <sheetData>
    <row r="1" spans="2:29" ht="53.25" customHeight="1" x14ac:dyDescent="0.35"/>
    <row r="2" spans="2:29" ht="53.25" customHeight="1" x14ac:dyDescent="0.35">
      <c r="H2" s="15" t="s">
        <v>653</v>
      </c>
      <c r="I2" s="15"/>
      <c r="J2" s="15"/>
      <c r="K2" s="15"/>
      <c r="L2" s="15"/>
      <c r="M2" s="15"/>
    </row>
    <row r="3" spans="2:29" ht="17.5" x14ac:dyDescent="0.35">
      <c r="B3" s="3"/>
    </row>
    <row r="4" spans="2:29" ht="61.5" customHeight="1" x14ac:dyDescent="0.35">
      <c r="B4" s="14" t="s">
        <v>654</v>
      </c>
      <c r="C4" s="14"/>
      <c r="D4" s="14"/>
      <c r="E4" s="14"/>
      <c r="F4" s="14"/>
      <c r="G4" s="14"/>
      <c r="H4" s="14"/>
      <c r="I4" s="14"/>
      <c r="J4" s="14"/>
      <c r="K4" s="14"/>
      <c r="L4" s="14"/>
      <c r="M4" s="14"/>
      <c r="N4" s="14"/>
      <c r="O4" s="14"/>
      <c r="P4" s="14"/>
      <c r="Q4" s="14"/>
      <c r="R4" s="14"/>
      <c r="S4" s="14"/>
      <c r="T4" s="14"/>
      <c r="U4" s="14"/>
      <c r="V4" s="14"/>
      <c r="W4" s="14"/>
      <c r="X4" s="14"/>
      <c r="Y4" s="14"/>
      <c r="Z4" s="14"/>
      <c r="AA4" s="14"/>
      <c r="AB4" s="14"/>
      <c r="AC4" s="14"/>
    </row>
    <row r="5" spans="2:29" ht="29.25" customHeight="1" x14ac:dyDescent="0.35"/>
    <row r="6" spans="2:29" ht="33" customHeight="1" x14ac:dyDescent="0.35">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row>
    <row r="7" spans="2:29" x14ac:dyDescent="0.35">
      <c r="B7" s="11" t="s">
        <v>649</v>
      </c>
      <c r="C7" s="5"/>
      <c r="D7" s="5"/>
      <c r="E7" s="5"/>
      <c r="F7" s="5"/>
      <c r="G7" s="5"/>
      <c r="H7" s="5"/>
      <c r="I7" s="5"/>
      <c r="J7" s="5"/>
      <c r="K7" s="5"/>
      <c r="L7" s="5"/>
      <c r="M7" s="5"/>
      <c r="N7" s="5"/>
      <c r="O7" s="5"/>
      <c r="P7" s="5"/>
      <c r="Q7" s="5"/>
      <c r="R7" s="5"/>
      <c r="S7" s="5"/>
      <c r="T7" s="5"/>
      <c r="U7" s="5"/>
      <c r="V7" s="5"/>
      <c r="W7" s="5"/>
      <c r="X7" s="5"/>
      <c r="Y7" s="5"/>
      <c r="Z7" s="5"/>
      <c r="AA7" s="5"/>
      <c r="AB7" s="5"/>
      <c r="AC7" s="5"/>
    </row>
    <row r="8" spans="2:29" x14ac:dyDescent="0.35">
      <c r="B8" s="14" t="s">
        <v>655</v>
      </c>
      <c r="C8" s="14"/>
      <c r="D8" s="14"/>
      <c r="E8" s="14"/>
      <c r="F8" s="14"/>
      <c r="G8" s="14"/>
      <c r="H8" s="14"/>
      <c r="I8" s="14"/>
      <c r="J8" s="14"/>
      <c r="K8" s="14"/>
      <c r="L8" s="14"/>
      <c r="M8" s="14"/>
      <c r="N8" s="14"/>
      <c r="O8" s="14"/>
      <c r="P8" s="14"/>
      <c r="Q8" s="14"/>
      <c r="R8" s="14"/>
      <c r="S8" s="14"/>
      <c r="T8" s="14"/>
      <c r="U8" s="14"/>
      <c r="V8" s="14"/>
      <c r="W8" s="14"/>
      <c r="X8" s="14"/>
      <c r="Y8" s="14"/>
      <c r="Z8" s="14"/>
      <c r="AA8" s="14"/>
      <c r="AB8" s="14"/>
      <c r="AC8" s="14"/>
    </row>
    <row r="9" spans="2:29" ht="8.25" customHeight="1" x14ac:dyDescent="0.35">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row>
    <row r="10" spans="2:29" ht="20.25" customHeight="1" x14ac:dyDescent="0.35">
      <c r="B10" s="16" t="s">
        <v>656</v>
      </c>
      <c r="C10" s="16"/>
      <c r="D10" s="16"/>
      <c r="E10" s="4"/>
      <c r="F10" s="4"/>
      <c r="G10" s="4"/>
      <c r="H10" s="4"/>
      <c r="I10" s="4"/>
      <c r="J10" s="4"/>
      <c r="K10" s="4"/>
      <c r="L10" s="4"/>
      <c r="M10" s="4"/>
      <c r="N10" s="4"/>
      <c r="O10" s="4"/>
      <c r="P10" s="4"/>
      <c r="Q10" s="4"/>
      <c r="R10" s="4"/>
      <c r="S10" s="4"/>
      <c r="T10" s="4"/>
      <c r="U10" s="4"/>
      <c r="V10" s="4"/>
      <c r="W10" s="4"/>
      <c r="X10" s="4"/>
      <c r="Y10" s="4"/>
      <c r="Z10" s="4"/>
      <c r="AA10" s="4"/>
      <c r="AB10" s="4"/>
      <c r="AC10" s="4"/>
    </row>
    <row r="11" spans="2:29" ht="15" customHeight="1" x14ac:dyDescent="0.35">
      <c r="B11" s="13" t="s">
        <v>657</v>
      </c>
      <c r="C11" s="13"/>
      <c r="D11" s="13"/>
      <c r="E11" s="13"/>
      <c r="F11" s="13"/>
      <c r="G11" s="13"/>
      <c r="H11" s="13"/>
      <c r="I11" s="13"/>
      <c r="J11" s="13"/>
      <c r="K11" s="13"/>
      <c r="L11" s="13"/>
      <c r="M11" s="13"/>
      <c r="N11" s="13"/>
      <c r="O11" s="13"/>
      <c r="P11" s="13"/>
      <c r="Q11" s="13"/>
      <c r="R11" s="13"/>
      <c r="S11" s="13"/>
      <c r="T11" s="13"/>
      <c r="U11" s="13"/>
      <c r="V11" s="13"/>
      <c r="W11" s="13"/>
      <c r="X11" s="13"/>
      <c r="Y11" s="13"/>
    </row>
    <row r="12" spans="2:29" ht="21" customHeight="1" x14ac:dyDescent="0.35"/>
    <row r="13" spans="2:29" ht="21" customHeight="1" x14ac:dyDescent="0.35">
      <c r="B13" s="7"/>
    </row>
    <row r="14" spans="2:29" x14ac:dyDescent="0.35">
      <c r="B14" s="11" t="s">
        <v>650</v>
      </c>
    </row>
    <row r="15" spans="2:29" x14ac:dyDescent="0.35">
      <c r="B15" s="14" t="s">
        <v>658</v>
      </c>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row>
    <row r="16" spans="2:29" ht="6.75" customHeight="1" x14ac:dyDescent="0.35">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row>
    <row r="17" spans="2:29" x14ac:dyDescent="0.35">
      <c r="B17" s="16" t="s">
        <v>656</v>
      </c>
      <c r="C17" s="16"/>
      <c r="D17" s="16"/>
    </row>
    <row r="18" spans="2:29" x14ac:dyDescent="0.35">
      <c r="B18" s="13" t="s">
        <v>659</v>
      </c>
      <c r="C18" s="13"/>
      <c r="D18" s="13"/>
      <c r="E18" s="13"/>
      <c r="F18" s="13"/>
      <c r="G18" s="13"/>
      <c r="H18" s="13"/>
      <c r="I18" s="13"/>
      <c r="J18" s="13"/>
      <c r="K18" s="13"/>
      <c r="L18" s="13"/>
      <c r="M18" s="13"/>
      <c r="N18" s="13"/>
      <c r="O18" s="13"/>
      <c r="P18" s="13"/>
      <c r="Q18" s="13"/>
      <c r="R18" s="13"/>
      <c r="S18" s="13"/>
      <c r="T18" s="13"/>
      <c r="U18" s="13"/>
      <c r="V18" s="13"/>
      <c r="W18" s="13"/>
      <c r="X18" s="13"/>
      <c r="Y18" s="13"/>
    </row>
    <row r="19" spans="2:29" ht="28.5" customHeight="1" x14ac:dyDescent="0.35">
      <c r="B19" s="7"/>
    </row>
    <row r="20" spans="2:29" ht="28.5" customHeight="1" x14ac:dyDescent="0.35">
      <c r="B20" s="8"/>
    </row>
    <row r="21" spans="2:29" x14ac:dyDescent="0.35">
      <c r="B21" s="11" t="s">
        <v>648</v>
      </c>
    </row>
    <row r="22" spans="2:29" x14ac:dyDescent="0.35">
      <c r="B22" s="14" t="s">
        <v>660</v>
      </c>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2:29" x14ac:dyDescent="0.35">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row>
    <row r="24" spans="2:29" x14ac:dyDescent="0.35">
      <c r="B24" s="16" t="s">
        <v>656</v>
      </c>
      <c r="C24" s="16"/>
      <c r="D24" s="16"/>
    </row>
    <row r="25" spans="2:29" x14ac:dyDescent="0.35">
      <c r="B25" s="13" t="s">
        <v>661</v>
      </c>
      <c r="C25" s="13"/>
      <c r="D25" s="13"/>
      <c r="E25" s="13"/>
      <c r="F25" s="13"/>
      <c r="G25" s="13"/>
      <c r="H25" s="13"/>
      <c r="I25" s="13"/>
      <c r="J25" s="13"/>
      <c r="K25" s="13"/>
      <c r="L25" s="13"/>
      <c r="M25" s="13"/>
      <c r="N25" s="13"/>
      <c r="O25" s="13"/>
      <c r="P25" s="13"/>
      <c r="Q25" s="13"/>
      <c r="R25" s="13"/>
      <c r="S25" s="13"/>
      <c r="T25" s="13"/>
      <c r="U25" s="13"/>
      <c r="V25" s="13"/>
      <c r="W25" s="13"/>
      <c r="X25" s="13"/>
      <c r="Y25" s="13"/>
    </row>
    <row r="26" spans="2:29" ht="33" customHeight="1" x14ac:dyDescent="0.35">
      <c r="B26" s="8"/>
    </row>
    <row r="27" spans="2:29" ht="33" customHeight="1" x14ac:dyDescent="0.35"/>
    <row r="28" spans="2:29" x14ac:dyDescent="0.35">
      <c r="B28" s="11" t="s">
        <v>651</v>
      </c>
    </row>
    <row r="29" spans="2:29" x14ac:dyDescent="0.35">
      <c r="B29" s="14" t="s">
        <v>662</v>
      </c>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row>
    <row r="30" spans="2:29" x14ac:dyDescent="0.35">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row>
    <row r="31" spans="2:29" x14ac:dyDescent="0.35">
      <c r="B31" s="16" t="s">
        <v>656</v>
      </c>
      <c r="C31" s="16"/>
      <c r="D31" s="16"/>
    </row>
    <row r="32" spans="2:29" x14ac:dyDescent="0.35">
      <c r="B32" s="13" t="s">
        <v>663</v>
      </c>
      <c r="C32" s="13"/>
      <c r="D32" s="13"/>
      <c r="E32" s="13"/>
      <c r="F32" s="13"/>
      <c r="G32" s="13"/>
      <c r="H32" s="13"/>
      <c r="I32" s="13"/>
      <c r="J32" s="13"/>
      <c r="K32" s="13"/>
      <c r="L32" s="13"/>
      <c r="M32" s="13"/>
      <c r="N32" s="13"/>
      <c r="O32" s="13"/>
      <c r="P32" s="13"/>
      <c r="Q32" s="13"/>
      <c r="R32" s="13"/>
      <c r="S32" s="13"/>
      <c r="T32" s="13"/>
      <c r="U32" s="13"/>
      <c r="V32" s="13"/>
      <c r="W32" s="13"/>
      <c r="X32" s="13"/>
      <c r="Y32" s="13"/>
    </row>
    <row r="33" spans="2:29" ht="42" customHeight="1" x14ac:dyDescent="0.35"/>
    <row r="34" spans="2:29" ht="42" customHeight="1" x14ac:dyDescent="0.35"/>
    <row r="35" spans="2:29" x14ac:dyDescent="0.35">
      <c r="B35" s="11" t="s">
        <v>652</v>
      </c>
    </row>
    <row r="36" spans="2:29" x14ac:dyDescent="0.35">
      <c r="B36" s="14" t="s">
        <v>664</v>
      </c>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row>
    <row r="37" spans="2:29" x14ac:dyDescent="0.35">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2:29" x14ac:dyDescent="0.35">
      <c r="B38" s="16" t="s">
        <v>656</v>
      </c>
      <c r="C38" s="16"/>
      <c r="D38" s="16"/>
    </row>
    <row r="39" spans="2:29" x14ac:dyDescent="0.35">
      <c r="B39" s="13" t="s">
        <v>665</v>
      </c>
      <c r="C39" s="13"/>
      <c r="D39" s="13"/>
      <c r="E39" s="13"/>
      <c r="F39" s="13"/>
      <c r="G39" s="13"/>
      <c r="H39" s="13"/>
      <c r="I39" s="13"/>
      <c r="J39" s="13"/>
      <c r="K39" s="13"/>
      <c r="L39" s="13"/>
      <c r="M39" s="13"/>
      <c r="N39" s="13"/>
      <c r="O39" s="13"/>
      <c r="P39" s="13"/>
      <c r="Q39" s="13"/>
      <c r="R39" s="13"/>
      <c r="S39" s="13"/>
      <c r="T39" s="13"/>
      <c r="U39" s="13"/>
      <c r="V39" s="13"/>
      <c r="W39" s="13"/>
      <c r="X39" s="13"/>
      <c r="Y39" s="13"/>
    </row>
    <row r="40" spans="2:29" x14ac:dyDescent="0.35">
      <c r="B40" s="9"/>
    </row>
    <row r="41" spans="2:29" x14ac:dyDescent="0.35">
      <c r="B41" s="8"/>
    </row>
    <row r="42" spans="2:29" x14ac:dyDescent="0.35">
      <c r="B42" s="8"/>
    </row>
    <row r="43" spans="2:29" x14ac:dyDescent="0.35">
      <c r="B43" s="8"/>
    </row>
    <row r="44" spans="2:29" x14ac:dyDescent="0.35">
      <c r="B44" s="10"/>
    </row>
    <row r="45" spans="2:29" x14ac:dyDescent="0.35">
      <c r="B45" s="10"/>
    </row>
    <row r="46" spans="2:29" x14ac:dyDescent="0.35">
      <c r="B46" s="10"/>
    </row>
    <row r="47" spans="2:29" x14ac:dyDescent="0.35">
      <c r="B47" s="10"/>
    </row>
    <row r="48" spans="2:29" x14ac:dyDescent="0.35">
      <c r="B48" s="10"/>
    </row>
    <row r="49" spans="2:2" x14ac:dyDescent="0.35">
      <c r="B49" s="10"/>
    </row>
    <row r="51" spans="2:2" ht="17.5" x14ac:dyDescent="0.35">
      <c r="B51" s="3"/>
    </row>
    <row r="55" spans="2:2" x14ac:dyDescent="0.35">
      <c r="B55" s="9"/>
    </row>
    <row r="56" spans="2:2" x14ac:dyDescent="0.35">
      <c r="B56" s="8"/>
    </row>
    <row r="57" spans="2:2" x14ac:dyDescent="0.35">
      <c r="B57" s="8"/>
    </row>
    <row r="58" spans="2:2" x14ac:dyDescent="0.35">
      <c r="B58" s="8"/>
    </row>
    <row r="59" spans="2:2" x14ac:dyDescent="0.35">
      <c r="B59" s="8"/>
    </row>
    <row r="60" spans="2:2" ht="24" customHeight="1" x14ac:dyDescent="0.35">
      <c r="B60" s="8"/>
    </row>
    <row r="61" spans="2:2" ht="17.5" x14ac:dyDescent="0.35">
      <c r="B61" s="3"/>
    </row>
    <row r="65" spans="2:2" x14ac:dyDescent="0.35">
      <c r="B65" s="9"/>
    </row>
    <row r="66" spans="2:2" x14ac:dyDescent="0.35">
      <c r="B66" s="8"/>
    </row>
    <row r="67" spans="2:2" x14ac:dyDescent="0.35">
      <c r="B67" s="8"/>
    </row>
    <row r="68" spans="2:2" x14ac:dyDescent="0.35">
      <c r="B68" s="8"/>
    </row>
    <row r="69" spans="2:2" x14ac:dyDescent="0.35">
      <c r="B69" s="8"/>
    </row>
    <row r="70" spans="2:2" x14ac:dyDescent="0.35">
      <c r="B70" s="8"/>
    </row>
    <row r="71" spans="2:2" ht="17.5" x14ac:dyDescent="0.35">
      <c r="B71" s="3"/>
    </row>
    <row r="75" spans="2:2" x14ac:dyDescent="0.35">
      <c r="B75" s="9"/>
    </row>
    <row r="77" spans="2:2" x14ac:dyDescent="0.35">
      <c r="B77" s="8"/>
    </row>
    <row r="78" spans="2:2" x14ac:dyDescent="0.35">
      <c r="B78" s="8"/>
    </row>
    <row r="79" spans="2:2" x14ac:dyDescent="0.35">
      <c r="B79" s="8"/>
    </row>
    <row r="80" spans="2:2" x14ac:dyDescent="0.35">
      <c r="B80" s="8"/>
    </row>
    <row r="81" spans="2:2" x14ac:dyDescent="0.35">
      <c r="B81" s="8"/>
    </row>
    <row r="82" spans="2:2" x14ac:dyDescent="0.35">
      <c r="B82" s="8"/>
    </row>
    <row r="84" spans="2:2" x14ac:dyDescent="0.35">
      <c r="B84" s="9"/>
    </row>
    <row r="85" spans="2:2" x14ac:dyDescent="0.35">
      <c r="B85" s="8"/>
    </row>
    <row r="86" spans="2:2" x14ac:dyDescent="0.35">
      <c r="B86" s="8"/>
    </row>
    <row r="87" spans="2:2" x14ac:dyDescent="0.35">
      <c r="B87" s="8"/>
    </row>
    <row r="88" spans="2:2" x14ac:dyDescent="0.35">
      <c r="B88" s="8"/>
    </row>
    <row r="90" spans="2:2" ht="17.5" x14ac:dyDescent="0.35">
      <c r="B90" s="3"/>
    </row>
    <row r="94" spans="2:2" x14ac:dyDescent="0.35">
      <c r="B94" s="9"/>
    </row>
    <row r="95" spans="2:2" x14ac:dyDescent="0.35">
      <c r="B95" s="8"/>
    </row>
    <row r="96" spans="2:2" x14ac:dyDescent="0.35">
      <c r="B96" s="8"/>
    </row>
    <row r="97" spans="2:2" x14ac:dyDescent="0.35">
      <c r="B97" s="8"/>
    </row>
    <row r="98" spans="2:2" x14ac:dyDescent="0.35">
      <c r="B98" s="8"/>
    </row>
    <row r="99" spans="2:2" x14ac:dyDescent="0.35">
      <c r="B99" s="8"/>
    </row>
    <row r="100" spans="2:2" x14ac:dyDescent="0.35">
      <c r="B100" s="8"/>
    </row>
    <row r="102" spans="2:2" x14ac:dyDescent="0.35">
      <c r="B102" s="9"/>
    </row>
    <row r="103" spans="2:2" x14ac:dyDescent="0.35">
      <c r="B103" s="8"/>
    </row>
    <row r="104" spans="2:2" x14ac:dyDescent="0.35">
      <c r="B104" s="8"/>
    </row>
    <row r="105" spans="2:2" ht="31.5" customHeight="1" x14ac:dyDescent="0.35">
      <c r="B105" s="8"/>
    </row>
    <row r="106" spans="2:2" ht="23.5" x14ac:dyDescent="0.35">
      <c r="B106" s="6"/>
    </row>
  </sheetData>
  <mergeCells count="18">
    <mergeCell ref="B39:Y39"/>
    <mergeCell ref="B15:AC16"/>
    <mergeCell ref="B17:D17"/>
    <mergeCell ref="B18:Y18"/>
    <mergeCell ref="B22:AC23"/>
    <mergeCell ref="B24:D24"/>
    <mergeCell ref="B25:Y25"/>
    <mergeCell ref="B29:AC30"/>
    <mergeCell ref="B31:D31"/>
    <mergeCell ref="B32:Y32"/>
    <mergeCell ref="B36:AC37"/>
    <mergeCell ref="B38:D38"/>
    <mergeCell ref="B11:Y11"/>
    <mergeCell ref="B4:AC4"/>
    <mergeCell ref="B6:AC6"/>
    <mergeCell ref="B8:AC9"/>
    <mergeCell ref="H2:M2"/>
    <mergeCell ref="B10:D10"/>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C5015-2EBA-4E0C-92C4-2877D228BA8A}">
  <dimension ref="A1:F10"/>
  <sheetViews>
    <sheetView workbookViewId="0">
      <selection activeCell="C16" sqref="C16"/>
    </sheetView>
  </sheetViews>
  <sheetFormatPr defaultColWidth="9.1796875" defaultRowHeight="14.5" x14ac:dyDescent="0.35"/>
  <cols>
    <col min="1" max="1" width="10.6328125" customWidth="1"/>
    <col min="2" max="2" width="12" bestFit="1" customWidth="1"/>
    <col min="3" max="3" width="17.7265625" bestFit="1" customWidth="1"/>
    <col min="4" max="4" width="20.453125" bestFit="1" customWidth="1"/>
    <col min="5" max="5" width="9.90625" customWidth="1"/>
    <col min="6" max="6" width="24.1796875" bestFit="1" customWidth="1"/>
  </cols>
  <sheetData>
    <row r="1" spans="1:6" x14ac:dyDescent="0.35">
      <c r="A1" s="12" t="s">
        <v>28</v>
      </c>
      <c r="B1" s="12" t="s">
        <v>29</v>
      </c>
      <c r="C1" s="12" t="s">
        <v>30</v>
      </c>
      <c r="D1" s="12" t="s">
        <v>31</v>
      </c>
      <c r="E1" s="12" t="s">
        <v>32</v>
      </c>
      <c r="F1" s="12" t="s">
        <v>33</v>
      </c>
    </row>
    <row r="2" spans="1:6" x14ac:dyDescent="0.35">
      <c r="A2" t="s">
        <v>34</v>
      </c>
      <c r="B2" t="s">
        <v>35</v>
      </c>
      <c r="C2" t="s">
        <v>36</v>
      </c>
      <c r="D2" t="s">
        <v>37</v>
      </c>
      <c r="E2" t="s">
        <v>22</v>
      </c>
      <c r="F2" t="s">
        <v>38</v>
      </c>
    </row>
    <row r="3" spans="1:6" x14ac:dyDescent="0.35">
      <c r="A3" t="s">
        <v>39</v>
      </c>
      <c r="B3" t="s">
        <v>40</v>
      </c>
      <c r="C3" t="s">
        <v>36</v>
      </c>
      <c r="D3" t="s">
        <v>41</v>
      </c>
      <c r="E3" t="s">
        <v>27</v>
      </c>
      <c r="F3" t="s">
        <v>42</v>
      </c>
    </row>
    <row r="4" spans="1:6" x14ac:dyDescent="0.35">
      <c r="A4" t="s">
        <v>43</v>
      </c>
      <c r="B4" t="s">
        <v>44</v>
      </c>
      <c r="C4" t="s">
        <v>36</v>
      </c>
      <c r="D4" t="s">
        <v>45</v>
      </c>
      <c r="E4" t="s">
        <v>27</v>
      </c>
      <c r="F4" t="s">
        <v>6</v>
      </c>
    </row>
    <row r="5" spans="1:6" x14ac:dyDescent="0.35">
      <c r="A5" t="s">
        <v>46</v>
      </c>
      <c r="B5" t="s">
        <v>47</v>
      </c>
      <c r="C5" t="s">
        <v>48</v>
      </c>
      <c r="D5" t="s">
        <v>49</v>
      </c>
      <c r="E5" t="s">
        <v>50</v>
      </c>
      <c r="F5" t="s">
        <v>51</v>
      </c>
    </row>
    <row r="6" spans="1:6" x14ac:dyDescent="0.35">
      <c r="A6" t="s">
        <v>52</v>
      </c>
      <c r="B6" t="s">
        <v>53</v>
      </c>
      <c r="C6" t="s">
        <v>48</v>
      </c>
      <c r="D6" t="s">
        <v>54</v>
      </c>
      <c r="E6" t="s">
        <v>55</v>
      </c>
      <c r="F6" t="s">
        <v>56</v>
      </c>
    </row>
    <row r="7" spans="1:6" x14ac:dyDescent="0.35">
      <c r="A7" t="s">
        <v>57</v>
      </c>
      <c r="B7" t="s">
        <v>58</v>
      </c>
      <c r="C7" t="s">
        <v>36</v>
      </c>
      <c r="D7" t="s">
        <v>59</v>
      </c>
      <c r="E7" t="s">
        <v>22</v>
      </c>
      <c r="F7" t="s">
        <v>60</v>
      </c>
    </row>
    <row r="8" spans="1:6" x14ac:dyDescent="0.35">
      <c r="A8" t="s">
        <v>61</v>
      </c>
      <c r="B8" t="s">
        <v>62</v>
      </c>
      <c r="C8" t="s">
        <v>63</v>
      </c>
      <c r="D8" t="s">
        <v>64</v>
      </c>
      <c r="E8" t="s">
        <v>55</v>
      </c>
      <c r="F8" t="s">
        <v>65</v>
      </c>
    </row>
    <row r="9" spans="1:6" x14ac:dyDescent="0.35">
      <c r="A9" t="s">
        <v>66</v>
      </c>
      <c r="B9" t="s">
        <v>67</v>
      </c>
      <c r="C9" t="s">
        <v>48</v>
      </c>
      <c r="D9" t="s">
        <v>68</v>
      </c>
      <c r="E9" t="s">
        <v>22</v>
      </c>
      <c r="F9" t="s">
        <v>69</v>
      </c>
    </row>
    <row r="10" spans="1:6" x14ac:dyDescent="0.35">
      <c r="A10" t="s">
        <v>70</v>
      </c>
      <c r="B10" t="s">
        <v>44</v>
      </c>
      <c r="C10" t="s">
        <v>71</v>
      </c>
      <c r="D10" t="s">
        <v>72</v>
      </c>
      <c r="E10" t="s">
        <v>50</v>
      </c>
      <c r="F10" t="s">
        <v>73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3680-AAD4-4F6B-AA66-479A19135A37}">
  <dimension ref="A1:K4"/>
  <sheetViews>
    <sheetView workbookViewId="0">
      <selection activeCell="D10" sqref="D10"/>
    </sheetView>
  </sheetViews>
  <sheetFormatPr defaultColWidth="9.1796875" defaultRowHeight="14.5" x14ac:dyDescent="0.35"/>
  <cols>
    <col min="1" max="1" width="12.1796875" bestFit="1" customWidth="1"/>
    <col min="2" max="2" width="26.453125" bestFit="1" customWidth="1"/>
    <col min="3" max="3" width="18.1796875" bestFit="1" customWidth="1"/>
    <col min="4" max="4" width="14" customWidth="1"/>
    <col min="5" max="5" width="16.453125" style="2" customWidth="1"/>
    <col min="6" max="6" width="15.81640625" style="2" customWidth="1"/>
    <col min="7" max="7" width="13.453125" style="2" bestFit="1" customWidth="1"/>
    <col min="8" max="8" width="29.54296875" style="2" bestFit="1" customWidth="1"/>
    <col min="9" max="9" width="17.26953125" customWidth="1"/>
    <col min="10" max="10" width="25.1796875" style="2" customWidth="1"/>
    <col min="11" max="11" width="33.1796875" bestFit="1" customWidth="1"/>
  </cols>
  <sheetData>
    <row r="1" spans="1:11" x14ac:dyDescent="0.35">
      <c r="A1" s="12" t="s">
        <v>0</v>
      </c>
      <c r="B1" s="12" t="s">
        <v>1</v>
      </c>
      <c r="C1" s="12" t="s">
        <v>2</v>
      </c>
      <c r="D1" s="12" t="s">
        <v>3</v>
      </c>
      <c r="E1" s="12" t="s">
        <v>4</v>
      </c>
      <c r="F1" s="12" t="s">
        <v>5</v>
      </c>
      <c r="G1" s="12" t="s">
        <v>6</v>
      </c>
      <c r="H1" s="12" t="s">
        <v>7</v>
      </c>
      <c r="I1" s="12" t="s">
        <v>8</v>
      </c>
      <c r="J1" s="12" t="s">
        <v>9</v>
      </c>
      <c r="K1" s="12" t="s">
        <v>10</v>
      </c>
    </row>
    <row r="2" spans="1:11" x14ac:dyDescent="0.35">
      <c r="A2" t="s">
        <v>11</v>
      </c>
      <c r="B2" t="s">
        <v>12</v>
      </c>
      <c r="C2" s="1">
        <v>46143</v>
      </c>
      <c r="D2" t="s">
        <v>13</v>
      </c>
      <c r="E2" s="2">
        <v>27.9</v>
      </c>
      <c r="F2" s="2">
        <v>0.62</v>
      </c>
      <c r="G2" s="2" t="s">
        <v>14</v>
      </c>
      <c r="H2" s="2">
        <v>600</v>
      </c>
      <c r="I2" t="s">
        <v>15</v>
      </c>
      <c r="J2" s="2" t="s">
        <v>16</v>
      </c>
      <c r="K2" t="s">
        <v>17</v>
      </c>
    </row>
    <row r="3" spans="1:11" x14ac:dyDescent="0.35">
      <c r="A3" t="s">
        <v>18</v>
      </c>
      <c r="B3" t="s">
        <v>19</v>
      </c>
      <c r="C3" s="1">
        <v>46296</v>
      </c>
      <c r="D3" t="s">
        <v>20</v>
      </c>
      <c r="E3" s="2">
        <v>19.899999999999999</v>
      </c>
      <c r="F3" s="2">
        <v>0.66</v>
      </c>
      <c r="G3" s="2" t="s">
        <v>21</v>
      </c>
      <c r="H3" s="2">
        <v>450</v>
      </c>
      <c r="I3" t="s">
        <v>22</v>
      </c>
      <c r="J3" s="2" t="s">
        <v>16</v>
      </c>
      <c r="K3" t="s">
        <v>17</v>
      </c>
    </row>
    <row r="4" spans="1:11" x14ac:dyDescent="0.35">
      <c r="A4" t="s">
        <v>23</v>
      </c>
      <c r="B4" t="s">
        <v>24</v>
      </c>
      <c r="C4" s="1">
        <v>46447</v>
      </c>
      <c r="D4" t="s">
        <v>25</v>
      </c>
      <c r="E4" s="2">
        <v>18.899999999999999</v>
      </c>
      <c r="F4" s="2">
        <v>0.61</v>
      </c>
      <c r="G4" s="2" t="s">
        <v>26</v>
      </c>
      <c r="H4" s="2">
        <v>300</v>
      </c>
      <c r="I4" t="s">
        <v>27</v>
      </c>
      <c r="J4" s="2" t="s">
        <v>16</v>
      </c>
      <c r="K4" t="s">
        <v>17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14E0F-CC90-46F0-BD04-D9A06E2FBB85}">
  <dimension ref="A1:S9"/>
  <sheetViews>
    <sheetView workbookViewId="0">
      <selection activeCell="A2" sqref="A2:I9"/>
    </sheetView>
  </sheetViews>
  <sheetFormatPr defaultColWidth="9.1796875" defaultRowHeight="14.5" x14ac:dyDescent="0.35"/>
  <cols>
    <col min="1" max="1" width="10" bestFit="1" customWidth="1"/>
    <col min="2" max="2" width="25.7265625" bestFit="1" customWidth="1"/>
    <col min="3" max="3" width="7.90625" customWidth="1"/>
    <col min="4" max="4" width="14" customWidth="1"/>
    <col min="5" max="5" width="8.90625" customWidth="1"/>
    <col min="6" max="6" width="14.6328125" customWidth="1"/>
    <col min="7" max="7" width="18.453125" customWidth="1"/>
    <col min="8" max="8" width="16.453125" customWidth="1"/>
    <col min="9" max="9" width="15.81640625" customWidth="1"/>
    <col min="10" max="10" width="18.1796875" bestFit="1" customWidth="1"/>
    <col min="11" max="11" width="14.81640625" bestFit="1" customWidth="1"/>
    <col min="12" max="12" width="18.453125" customWidth="1"/>
    <col min="13" max="13" width="14.1796875" customWidth="1"/>
    <col min="14" max="14" width="12.1796875" customWidth="1"/>
    <col min="15" max="15" width="21.7265625" customWidth="1"/>
    <col min="16" max="16" width="25.1796875" customWidth="1"/>
    <col min="17" max="17" width="83" bestFit="1" customWidth="1"/>
    <col min="18" max="18" width="31" bestFit="1" customWidth="1"/>
    <col min="19" max="19" width="29" customWidth="1"/>
  </cols>
  <sheetData>
    <row r="1" spans="1:19" x14ac:dyDescent="0.35">
      <c r="A1" s="12" t="s">
        <v>0</v>
      </c>
      <c r="B1" s="12" t="s">
        <v>1</v>
      </c>
      <c r="C1" s="12" t="s">
        <v>74</v>
      </c>
      <c r="D1" s="12" t="s">
        <v>3</v>
      </c>
      <c r="E1" s="12" t="s">
        <v>75</v>
      </c>
      <c r="F1" s="12" t="s">
        <v>76</v>
      </c>
      <c r="G1" s="12" t="s">
        <v>77</v>
      </c>
      <c r="H1" s="12" t="s">
        <v>4</v>
      </c>
      <c r="I1" s="12" t="s">
        <v>5</v>
      </c>
      <c r="J1" s="12" t="s">
        <v>2</v>
      </c>
      <c r="K1" s="12" t="s">
        <v>6</v>
      </c>
      <c r="L1" s="12" t="s">
        <v>78</v>
      </c>
      <c r="M1" s="12" t="s">
        <v>79</v>
      </c>
      <c r="N1" s="12" t="s">
        <v>80</v>
      </c>
      <c r="O1" s="12" t="s">
        <v>81</v>
      </c>
      <c r="P1" s="12" t="s">
        <v>9</v>
      </c>
      <c r="Q1" s="12" t="s">
        <v>10</v>
      </c>
      <c r="R1" s="12" t="s">
        <v>82</v>
      </c>
      <c r="S1" s="12" t="s">
        <v>83</v>
      </c>
    </row>
    <row r="2" spans="1:19" x14ac:dyDescent="0.35">
      <c r="A2" t="s">
        <v>84</v>
      </c>
      <c r="B2" t="s">
        <v>85</v>
      </c>
      <c r="C2" t="s">
        <v>86</v>
      </c>
      <c r="D2" t="s">
        <v>87</v>
      </c>
      <c r="E2" t="s">
        <v>88</v>
      </c>
      <c r="F2">
        <v>0.6</v>
      </c>
      <c r="G2">
        <v>12</v>
      </c>
      <c r="H2">
        <v>9</v>
      </c>
      <c r="I2">
        <v>0.44</v>
      </c>
      <c r="J2" s="1">
        <v>45352</v>
      </c>
      <c r="K2" t="s">
        <v>26</v>
      </c>
      <c r="L2">
        <v>5.04</v>
      </c>
      <c r="M2" t="s">
        <v>66</v>
      </c>
      <c r="N2" t="s">
        <v>89</v>
      </c>
      <c r="O2" s="1">
        <v>46023</v>
      </c>
      <c r="P2" t="b">
        <v>0</v>
      </c>
      <c r="Q2" t="s">
        <v>90</v>
      </c>
      <c r="R2">
        <v>1900</v>
      </c>
      <c r="S2">
        <v>22800</v>
      </c>
    </row>
    <row r="3" spans="1:19" x14ac:dyDescent="0.35">
      <c r="A3" t="s">
        <v>91</v>
      </c>
      <c r="B3" t="s">
        <v>92</v>
      </c>
      <c r="C3" t="s">
        <v>86</v>
      </c>
      <c r="D3" t="s">
        <v>93</v>
      </c>
      <c r="E3" t="s">
        <v>94</v>
      </c>
      <c r="F3">
        <v>0.3</v>
      </c>
      <c r="G3">
        <v>24</v>
      </c>
      <c r="H3">
        <v>22</v>
      </c>
      <c r="I3">
        <v>0.66</v>
      </c>
      <c r="J3" s="1">
        <v>45352</v>
      </c>
      <c r="K3" t="s">
        <v>95</v>
      </c>
      <c r="L3">
        <v>7.48</v>
      </c>
      <c r="M3" t="s">
        <v>61</v>
      </c>
      <c r="N3" t="s">
        <v>89</v>
      </c>
      <c r="O3" s="1">
        <v>46023</v>
      </c>
      <c r="P3" t="b">
        <v>0</v>
      </c>
      <c r="Q3" t="s">
        <v>90</v>
      </c>
      <c r="R3">
        <v>1300</v>
      </c>
      <c r="S3">
        <v>15600</v>
      </c>
    </row>
    <row r="4" spans="1:19" x14ac:dyDescent="0.35">
      <c r="A4" t="s">
        <v>96</v>
      </c>
      <c r="B4" t="s">
        <v>97</v>
      </c>
      <c r="C4" t="s">
        <v>86</v>
      </c>
      <c r="D4" t="s">
        <v>98</v>
      </c>
      <c r="E4" t="s">
        <v>94</v>
      </c>
      <c r="F4">
        <v>0.5</v>
      </c>
      <c r="G4">
        <v>24</v>
      </c>
      <c r="H4">
        <v>19</v>
      </c>
      <c r="I4">
        <v>0.63</v>
      </c>
      <c r="J4" s="1">
        <v>45474</v>
      </c>
      <c r="K4" t="s">
        <v>26</v>
      </c>
      <c r="L4">
        <v>7.03</v>
      </c>
      <c r="M4" t="s">
        <v>61</v>
      </c>
      <c r="N4" t="s">
        <v>89</v>
      </c>
      <c r="O4" s="1">
        <v>46023</v>
      </c>
      <c r="P4" t="b">
        <v>0</v>
      </c>
      <c r="Q4" t="s">
        <v>90</v>
      </c>
      <c r="R4">
        <v>1300</v>
      </c>
      <c r="S4">
        <v>15600</v>
      </c>
    </row>
    <row r="5" spans="1:19" x14ac:dyDescent="0.35">
      <c r="A5" t="s">
        <v>99</v>
      </c>
      <c r="B5" t="s">
        <v>100</v>
      </c>
      <c r="C5" t="s">
        <v>86</v>
      </c>
      <c r="D5" t="s">
        <v>101</v>
      </c>
      <c r="E5" t="s">
        <v>94</v>
      </c>
      <c r="F5">
        <v>2</v>
      </c>
      <c r="G5">
        <v>24</v>
      </c>
      <c r="H5">
        <v>30</v>
      </c>
      <c r="I5">
        <v>0.6</v>
      </c>
      <c r="J5" s="1">
        <v>45383</v>
      </c>
      <c r="K5" t="s">
        <v>26</v>
      </c>
      <c r="L5">
        <v>12</v>
      </c>
      <c r="M5" t="s">
        <v>61</v>
      </c>
      <c r="N5" t="s">
        <v>89</v>
      </c>
      <c r="O5" s="1">
        <v>46023</v>
      </c>
      <c r="P5" t="b">
        <v>0</v>
      </c>
      <c r="Q5" t="s">
        <v>90</v>
      </c>
      <c r="R5">
        <v>1100</v>
      </c>
      <c r="S5">
        <v>13200</v>
      </c>
    </row>
    <row r="6" spans="1:19" x14ac:dyDescent="0.35">
      <c r="A6" t="s">
        <v>102</v>
      </c>
      <c r="B6" t="s">
        <v>103</v>
      </c>
      <c r="C6" t="s">
        <v>86</v>
      </c>
      <c r="D6" t="s">
        <v>104</v>
      </c>
      <c r="E6" t="s">
        <v>94</v>
      </c>
      <c r="F6">
        <v>0.6</v>
      </c>
      <c r="G6">
        <v>18</v>
      </c>
      <c r="H6">
        <v>17</v>
      </c>
      <c r="I6">
        <v>0.62</v>
      </c>
      <c r="J6" s="1">
        <v>45536</v>
      </c>
      <c r="K6" t="s">
        <v>14</v>
      </c>
      <c r="L6">
        <v>6.46</v>
      </c>
      <c r="M6" t="s">
        <v>52</v>
      </c>
      <c r="N6" t="s">
        <v>89</v>
      </c>
      <c r="O6" s="1">
        <v>46023</v>
      </c>
      <c r="P6" t="b">
        <v>0</v>
      </c>
      <c r="Q6" t="s">
        <v>90</v>
      </c>
      <c r="R6">
        <v>1150</v>
      </c>
      <c r="S6">
        <v>13800</v>
      </c>
    </row>
    <row r="7" spans="1:19" x14ac:dyDescent="0.35">
      <c r="A7" t="s">
        <v>105</v>
      </c>
      <c r="B7" t="s">
        <v>106</v>
      </c>
      <c r="C7" t="s">
        <v>86</v>
      </c>
      <c r="D7" t="s">
        <v>98</v>
      </c>
      <c r="E7" t="s">
        <v>94</v>
      </c>
      <c r="F7">
        <v>0.4</v>
      </c>
      <c r="G7">
        <v>18</v>
      </c>
      <c r="H7">
        <v>28</v>
      </c>
      <c r="I7">
        <v>0.68</v>
      </c>
      <c r="J7" s="1">
        <v>45352</v>
      </c>
      <c r="K7" t="s">
        <v>107</v>
      </c>
      <c r="L7">
        <v>8.9600000000000009</v>
      </c>
      <c r="M7" t="s">
        <v>61</v>
      </c>
      <c r="N7" t="s">
        <v>89</v>
      </c>
      <c r="O7" s="1">
        <v>46023</v>
      </c>
      <c r="P7" t="b">
        <v>0</v>
      </c>
      <c r="Q7" t="s">
        <v>90</v>
      </c>
      <c r="R7">
        <v>1100</v>
      </c>
      <c r="S7">
        <v>13200</v>
      </c>
    </row>
    <row r="8" spans="1:19" x14ac:dyDescent="0.35">
      <c r="A8" t="s">
        <v>108</v>
      </c>
      <c r="B8" t="s">
        <v>109</v>
      </c>
      <c r="C8" t="s">
        <v>86</v>
      </c>
      <c r="D8" t="s">
        <v>13</v>
      </c>
      <c r="E8" t="s">
        <v>94</v>
      </c>
      <c r="F8">
        <v>1</v>
      </c>
      <c r="G8">
        <v>24</v>
      </c>
      <c r="H8">
        <v>20</v>
      </c>
      <c r="I8">
        <v>0.6</v>
      </c>
      <c r="J8" s="1">
        <v>45352</v>
      </c>
      <c r="K8" t="s">
        <v>14</v>
      </c>
      <c r="L8">
        <v>8</v>
      </c>
      <c r="M8" t="s">
        <v>61</v>
      </c>
      <c r="N8" t="s">
        <v>89</v>
      </c>
      <c r="O8" s="1">
        <v>46023</v>
      </c>
      <c r="P8" t="b">
        <v>0</v>
      </c>
      <c r="Q8" t="s">
        <v>90</v>
      </c>
      <c r="R8">
        <v>1200</v>
      </c>
      <c r="S8">
        <v>14400</v>
      </c>
    </row>
    <row r="9" spans="1:19" x14ac:dyDescent="0.35">
      <c r="A9" t="s">
        <v>110</v>
      </c>
      <c r="B9" t="s">
        <v>111</v>
      </c>
      <c r="C9" t="s">
        <v>86</v>
      </c>
      <c r="D9" t="s">
        <v>13</v>
      </c>
      <c r="E9" t="s">
        <v>94</v>
      </c>
      <c r="F9">
        <v>2</v>
      </c>
      <c r="G9">
        <v>24</v>
      </c>
      <c r="H9">
        <v>36</v>
      </c>
      <c r="I9">
        <v>0.57999999999999996</v>
      </c>
      <c r="J9" s="1">
        <v>45413</v>
      </c>
      <c r="K9" t="s">
        <v>14</v>
      </c>
      <c r="L9">
        <v>15.12</v>
      </c>
      <c r="M9" t="s">
        <v>61</v>
      </c>
      <c r="N9" t="s">
        <v>89</v>
      </c>
      <c r="O9" s="1">
        <v>46023</v>
      </c>
      <c r="P9" t="b">
        <v>0</v>
      </c>
      <c r="Q9" t="s">
        <v>90</v>
      </c>
      <c r="R9">
        <v>1300</v>
      </c>
      <c r="S9">
        <v>15600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CAA40-A6BC-4513-9430-18ACBCD564A7}">
  <dimension ref="A1:H18"/>
  <sheetViews>
    <sheetView tabSelected="1" topLeftCell="C1" zoomScale="96" workbookViewId="0">
      <selection activeCell="J6" sqref="J6"/>
    </sheetView>
  </sheetViews>
  <sheetFormatPr defaultColWidth="9.1796875" defaultRowHeight="14.5" x14ac:dyDescent="0.35"/>
  <cols>
    <col min="1" max="1" width="13.1796875" bestFit="1" customWidth="1"/>
    <col min="2" max="2" width="29.453125" bestFit="1" customWidth="1"/>
    <col min="3" max="3" width="25.36328125" bestFit="1" customWidth="1"/>
    <col min="4" max="4" width="14.7265625" bestFit="1" customWidth="1"/>
    <col min="5" max="5" width="26.54296875" style="2" customWidth="1"/>
    <col min="6" max="6" width="26.81640625" style="2" bestFit="1" customWidth="1"/>
    <col min="7" max="7" width="34.81640625" style="2" bestFit="1" customWidth="1"/>
    <col min="8" max="8" width="37.6328125" bestFit="1" customWidth="1"/>
  </cols>
  <sheetData>
    <row r="1" spans="1:8" x14ac:dyDescent="0.35">
      <c r="A1" s="12" t="s">
        <v>0</v>
      </c>
      <c r="B1" s="12" t="s">
        <v>1</v>
      </c>
      <c r="C1" s="12" t="s">
        <v>112</v>
      </c>
      <c r="D1" s="12" t="s">
        <v>80</v>
      </c>
      <c r="E1" s="12" t="s">
        <v>113</v>
      </c>
      <c r="F1" s="12" t="s">
        <v>114</v>
      </c>
      <c r="G1" s="12" t="s">
        <v>115</v>
      </c>
      <c r="H1" s="12" t="s">
        <v>666</v>
      </c>
    </row>
    <row r="2" spans="1:8" x14ac:dyDescent="0.35">
      <c r="A2" t="s">
        <v>116</v>
      </c>
      <c r="B2" t="s">
        <v>117</v>
      </c>
      <c r="C2" t="s">
        <v>46</v>
      </c>
      <c r="D2" t="s">
        <v>118</v>
      </c>
      <c r="E2" s="2">
        <v>7</v>
      </c>
      <c r="F2" s="2">
        <v>1</v>
      </c>
      <c r="G2" s="2">
        <v>7</v>
      </c>
      <c r="H2" s="2">
        <f>SUM(Table4[[#This Row],[Production Lead Time (days)]:[Plant → DC Shipping Lead Time (days)]])</f>
        <v>15</v>
      </c>
    </row>
    <row r="3" spans="1:8" x14ac:dyDescent="0.35">
      <c r="A3" t="s">
        <v>119</v>
      </c>
      <c r="B3" t="s">
        <v>120</v>
      </c>
      <c r="C3" t="s">
        <v>46</v>
      </c>
      <c r="D3" t="s">
        <v>118</v>
      </c>
      <c r="E3" s="2">
        <v>16</v>
      </c>
      <c r="F3" s="2">
        <v>2</v>
      </c>
      <c r="G3" s="2">
        <v>3</v>
      </c>
      <c r="H3" s="2">
        <f>SUM(Table4[[#This Row],[Production Lead Time (days)]:[Plant → DC Shipping Lead Time (days)]])</f>
        <v>21</v>
      </c>
    </row>
    <row r="4" spans="1:8" x14ac:dyDescent="0.35">
      <c r="A4" t="s">
        <v>121</v>
      </c>
      <c r="B4" t="s">
        <v>122</v>
      </c>
      <c r="C4" t="s">
        <v>52</v>
      </c>
      <c r="D4" t="s">
        <v>118</v>
      </c>
      <c r="E4" s="2">
        <v>11</v>
      </c>
      <c r="F4" s="2">
        <v>1</v>
      </c>
      <c r="G4" s="2">
        <v>7</v>
      </c>
      <c r="H4" s="2">
        <f>SUM(Table4[[#This Row],[Production Lead Time (days)]:[Plant → DC Shipping Lead Time (days)]])</f>
        <v>19</v>
      </c>
    </row>
    <row r="5" spans="1:8" x14ac:dyDescent="0.35">
      <c r="A5" t="s">
        <v>123</v>
      </c>
      <c r="B5" t="s">
        <v>124</v>
      </c>
      <c r="C5" t="s">
        <v>46</v>
      </c>
      <c r="D5" t="s">
        <v>118</v>
      </c>
      <c r="E5" s="2">
        <v>14</v>
      </c>
      <c r="F5" s="2">
        <v>1</v>
      </c>
      <c r="G5" s="2">
        <v>6</v>
      </c>
      <c r="H5" s="2">
        <f>SUM(Table4[[#This Row],[Production Lead Time (days)]:[Plant → DC Shipping Lead Time (days)]])</f>
        <v>21</v>
      </c>
    </row>
    <row r="6" spans="1:8" x14ac:dyDescent="0.35">
      <c r="A6" t="s">
        <v>125</v>
      </c>
      <c r="B6" t="s">
        <v>126</v>
      </c>
      <c r="C6" t="s">
        <v>34</v>
      </c>
      <c r="D6" t="s">
        <v>127</v>
      </c>
      <c r="E6" s="2">
        <v>11</v>
      </c>
      <c r="F6" s="2">
        <v>1</v>
      </c>
      <c r="G6" s="2">
        <v>2</v>
      </c>
      <c r="H6" s="2">
        <f>SUM(Table4[[#This Row],[Production Lead Time (days)]:[Plant → DC Shipping Lead Time (days)]])</f>
        <v>14</v>
      </c>
    </row>
    <row r="7" spans="1:8" x14ac:dyDescent="0.35">
      <c r="A7" t="s">
        <v>128</v>
      </c>
      <c r="B7" t="s">
        <v>129</v>
      </c>
      <c r="C7" t="s">
        <v>34</v>
      </c>
      <c r="D7" t="s">
        <v>127</v>
      </c>
      <c r="E7" s="2">
        <v>6</v>
      </c>
      <c r="F7" s="2">
        <v>2</v>
      </c>
      <c r="G7" s="2">
        <v>3</v>
      </c>
      <c r="H7" s="2">
        <f>SUM(Table4[[#This Row],[Production Lead Time (days)]:[Plant → DC Shipping Lead Time (days)]])</f>
        <v>11</v>
      </c>
    </row>
    <row r="8" spans="1:8" x14ac:dyDescent="0.35">
      <c r="A8" t="s">
        <v>130</v>
      </c>
      <c r="B8" t="s">
        <v>131</v>
      </c>
      <c r="C8" t="s">
        <v>34</v>
      </c>
      <c r="D8" t="s">
        <v>127</v>
      </c>
      <c r="E8" s="2">
        <v>5</v>
      </c>
      <c r="F8" s="2">
        <v>2</v>
      </c>
      <c r="G8" s="2">
        <v>7</v>
      </c>
      <c r="H8" s="2">
        <f>SUM(Table4[[#This Row],[Production Lead Time (days)]:[Plant → DC Shipping Lead Time (days)]])</f>
        <v>14</v>
      </c>
    </row>
    <row r="9" spans="1:8" x14ac:dyDescent="0.35">
      <c r="A9" t="s">
        <v>132</v>
      </c>
      <c r="B9" t="s">
        <v>133</v>
      </c>
      <c r="C9" t="s">
        <v>39</v>
      </c>
      <c r="D9" t="s">
        <v>127</v>
      </c>
      <c r="E9" s="2">
        <v>11</v>
      </c>
      <c r="F9" s="2">
        <v>2</v>
      </c>
      <c r="G9" s="2">
        <v>5</v>
      </c>
      <c r="H9" s="2">
        <f>SUM(Table4[[#This Row],[Production Lead Time (days)]:[Plant → DC Shipping Lead Time (days)]])</f>
        <v>18</v>
      </c>
    </row>
    <row r="10" spans="1:8" x14ac:dyDescent="0.35">
      <c r="A10" t="s">
        <v>134</v>
      </c>
      <c r="B10" t="s">
        <v>135</v>
      </c>
      <c r="C10" t="s">
        <v>43</v>
      </c>
      <c r="D10" t="s">
        <v>118</v>
      </c>
      <c r="E10" s="2">
        <v>12</v>
      </c>
      <c r="F10" s="2">
        <v>1</v>
      </c>
      <c r="G10" s="2">
        <v>3</v>
      </c>
      <c r="H10" s="2">
        <f>SUM(Table4[[#This Row],[Production Lead Time (days)]:[Plant → DC Shipping Lead Time (days)]])</f>
        <v>16</v>
      </c>
    </row>
    <row r="11" spans="1:8" x14ac:dyDescent="0.35">
      <c r="A11" t="s">
        <v>136</v>
      </c>
      <c r="B11" t="s">
        <v>137</v>
      </c>
      <c r="C11" t="s">
        <v>34</v>
      </c>
      <c r="D11" t="s">
        <v>127</v>
      </c>
      <c r="E11" s="2">
        <v>11</v>
      </c>
      <c r="F11" s="2">
        <v>3</v>
      </c>
      <c r="G11" s="2">
        <v>4</v>
      </c>
      <c r="H11" s="2">
        <f>SUM(Table4[[#This Row],[Production Lead Time (days)]:[Plant → DC Shipping Lead Time (days)]])</f>
        <v>18</v>
      </c>
    </row>
    <row r="12" spans="1:8" x14ac:dyDescent="0.35">
      <c r="A12" t="s">
        <v>138</v>
      </c>
      <c r="B12" t="s">
        <v>139</v>
      </c>
      <c r="C12" t="s">
        <v>34</v>
      </c>
      <c r="D12" t="s">
        <v>127</v>
      </c>
      <c r="E12" s="2">
        <v>7</v>
      </c>
      <c r="F12" s="2">
        <v>2</v>
      </c>
      <c r="G12" s="2">
        <v>4</v>
      </c>
      <c r="H12" s="2">
        <f>SUM(Table4[[#This Row],[Production Lead Time (days)]:[Plant → DC Shipping Lead Time (days)]])</f>
        <v>13</v>
      </c>
    </row>
    <row r="13" spans="1:8" x14ac:dyDescent="0.35">
      <c r="A13" t="s">
        <v>140</v>
      </c>
      <c r="B13" t="s">
        <v>141</v>
      </c>
      <c r="C13" t="s">
        <v>34</v>
      </c>
      <c r="D13" t="s">
        <v>127</v>
      </c>
      <c r="E13" s="2">
        <v>6</v>
      </c>
      <c r="F13" s="2">
        <v>1</v>
      </c>
      <c r="G13" s="2">
        <v>5</v>
      </c>
      <c r="H13" s="2">
        <f>SUM(Table4[[#This Row],[Production Lead Time (days)]:[Plant → DC Shipping Lead Time (days)]])</f>
        <v>12</v>
      </c>
    </row>
    <row r="14" spans="1:8" x14ac:dyDescent="0.35">
      <c r="A14" t="s">
        <v>142</v>
      </c>
      <c r="B14" t="s">
        <v>143</v>
      </c>
      <c r="C14" t="s">
        <v>46</v>
      </c>
      <c r="D14" t="s">
        <v>118</v>
      </c>
      <c r="E14" s="2">
        <v>7</v>
      </c>
      <c r="F14" s="2">
        <v>3</v>
      </c>
      <c r="G14" s="2">
        <v>4</v>
      </c>
      <c r="H14" s="2">
        <f>SUM(Table4[[#This Row],[Production Lead Time (days)]:[Plant → DC Shipping Lead Time (days)]])</f>
        <v>14</v>
      </c>
    </row>
    <row r="15" spans="1:8" x14ac:dyDescent="0.35">
      <c r="A15" t="s">
        <v>144</v>
      </c>
      <c r="B15" t="s">
        <v>145</v>
      </c>
      <c r="C15" t="s">
        <v>39</v>
      </c>
      <c r="D15" t="s">
        <v>127</v>
      </c>
      <c r="E15" s="2">
        <v>9</v>
      </c>
      <c r="F15" s="2">
        <v>1</v>
      </c>
      <c r="G15" s="2">
        <v>7</v>
      </c>
      <c r="H15" s="2">
        <f>SUM(Table4[[#This Row],[Production Lead Time (days)]:[Plant → DC Shipping Lead Time (days)]])</f>
        <v>17</v>
      </c>
    </row>
    <row r="16" spans="1:8" x14ac:dyDescent="0.35">
      <c r="A16" t="s">
        <v>146</v>
      </c>
      <c r="B16" t="s">
        <v>147</v>
      </c>
      <c r="C16" t="s">
        <v>34</v>
      </c>
      <c r="D16" t="s">
        <v>127</v>
      </c>
      <c r="E16" s="2">
        <v>12</v>
      </c>
      <c r="F16" s="2">
        <v>1</v>
      </c>
      <c r="G16" s="2">
        <v>5</v>
      </c>
      <c r="H16" s="2">
        <f>SUM(Table4[[#This Row],[Production Lead Time (days)]:[Plant → DC Shipping Lead Time (days)]])</f>
        <v>18</v>
      </c>
    </row>
    <row r="17" spans="1:8" x14ac:dyDescent="0.35">
      <c r="A17" t="s">
        <v>148</v>
      </c>
      <c r="B17" t="s">
        <v>149</v>
      </c>
      <c r="C17" t="s">
        <v>34</v>
      </c>
      <c r="D17" t="s">
        <v>127</v>
      </c>
      <c r="E17" s="2">
        <v>6</v>
      </c>
      <c r="F17" s="2">
        <v>3</v>
      </c>
      <c r="G17" s="2">
        <v>7</v>
      </c>
      <c r="H17" s="2">
        <f>SUM(Table4[[#This Row],[Production Lead Time (days)]:[Plant → DC Shipping Lead Time (days)]])</f>
        <v>16</v>
      </c>
    </row>
    <row r="18" spans="1:8" x14ac:dyDescent="0.35">
      <c r="A18" t="s">
        <v>150</v>
      </c>
      <c r="B18" t="s">
        <v>151</v>
      </c>
      <c r="C18" t="s">
        <v>43</v>
      </c>
      <c r="D18" t="s">
        <v>118</v>
      </c>
      <c r="E18" s="2">
        <v>11</v>
      </c>
      <c r="F18" s="2">
        <v>2</v>
      </c>
      <c r="G18" s="2">
        <v>7</v>
      </c>
      <c r="H18" s="2">
        <f>SUM(Table4[[#This Row],[Production Lead Time (days)]:[Plant → DC Shipping Lead Time (days)]])</f>
        <v>20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E8ACE-8C43-4B2B-B12A-A45D49C6B62B}">
  <dimension ref="A1:K460"/>
  <sheetViews>
    <sheetView zoomScale="81" workbookViewId="0">
      <selection activeCell="G2" sqref="G2"/>
    </sheetView>
  </sheetViews>
  <sheetFormatPr defaultColWidth="9.1796875" defaultRowHeight="14.5" x14ac:dyDescent="0.35"/>
  <cols>
    <col min="1" max="1" width="15.54296875" bestFit="1" customWidth="1"/>
    <col min="2" max="2" width="17.81640625" bestFit="1" customWidth="1"/>
    <col min="3" max="3" width="11.08984375" bestFit="1" customWidth="1"/>
    <col min="4" max="4" width="12.453125" bestFit="1" customWidth="1"/>
    <col min="5" max="5" width="26.6328125" style="2" bestFit="1" customWidth="1"/>
    <col min="6" max="6" width="28.08984375" style="2" bestFit="1" customWidth="1"/>
    <col min="7" max="7" width="16.90625" style="2" bestFit="1" customWidth="1"/>
    <col min="8" max="8" width="17.7265625" style="2" bestFit="1" customWidth="1"/>
    <col min="9" max="9" width="18.26953125" style="2" bestFit="1" customWidth="1"/>
    <col min="10" max="10" width="18" style="2" bestFit="1" customWidth="1"/>
    <col min="11" max="11" width="22" bestFit="1" customWidth="1"/>
  </cols>
  <sheetData>
    <row r="1" spans="1:11" x14ac:dyDescent="0.35">
      <c r="A1" s="12" t="s">
        <v>152</v>
      </c>
      <c r="B1" s="12" t="s">
        <v>153</v>
      </c>
      <c r="C1" s="12" t="s">
        <v>154</v>
      </c>
      <c r="D1" s="12" t="s">
        <v>0</v>
      </c>
      <c r="E1" s="12" t="s">
        <v>155</v>
      </c>
      <c r="F1" s="12" t="s">
        <v>156</v>
      </c>
      <c r="G1" s="12" t="s">
        <v>157</v>
      </c>
      <c r="H1" s="12" t="s">
        <v>158</v>
      </c>
      <c r="I1" s="12" t="s">
        <v>159</v>
      </c>
      <c r="J1" s="12" t="s">
        <v>160</v>
      </c>
      <c r="K1" s="12" t="s">
        <v>161</v>
      </c>
    </row>
    <row r="2" spans="1:11" x14ac:dyDescent="0.35">
      <c r="A2" t="s">
        <v>162</v>
      </c>
      <c r="B2" s="1">
        <v>45108</v>
      </c>
      <c r="C2" t="s">
        <v>163</v>
      </c>
      <c r="D2" t="s">
        <v>142</v>
      </c>
      <c r="E2" s="2">
        <v>500</v>
      </c>
      <c r="F2" s="2">
        <v>6500</v>
      </c>
      <c r="G2" s="2">
        <v>10.88</v>
      </c>
      <c r="H2" s="2">
        <v>70720</v>
      </c>
      <c r="I2" s="2" t="s">
        <v>46</v>
      </c>
      <c r="J2" s="2" t="s">
        <v>118</v>
      </c>
      <c r="K2" s="1">
        <v>45122</v>
      </c>
    </row>
    <row r="3" spans="1:11" x14ac:dyDescent="0.35">
      <c r="A3" t="s">
        <v>164</v>
      </c>
      <c r="B3" s="1">
        <v>45108</v>
      </c>
      <c r="C3" t="s">
        <v>163</v>
      </c>
      <c r="D3" t="s">
        <v>144</v>
      </c>
      <c r="E3" s="2">
        <v>1000</v>
      </c>
      <c r="F3" s="2">
        <v>6000</v>
      </c>
      <c r="G3" s="2">
        <v>5.04</v>
      </c>
      <c r="H3" s="2">
        <v>30240</v>
      </c>
      <c r="I3" s="2" t="s">
        <v>39</v>
      </c>
      <c r="J3" s="2" t="s">
        <v>127</v>
      </c>
      <c r="K3" s="1">
        <v>45125</v>
      </c>
    </row>
    <row r="4" spans="1:11" x14ac:dyDescent="0.35">
      <c r="A4" t="s">
        <v>165</v>
      </c>
      <c r="B4" s="1">
        <v>45108</v>
      </c>
      <c r="C4" t="s">
        <v>163</v>
      </c>
      <c r="D4" t="s">
        <v>146</v>
      </c>
      <c r="E4" s="2">
        <v>1000</v>
      </c>
      <c r="F4" s="2">
        <v>5000</v>
      </c>
      <c r="G4" s="2">
        <v>2.4700000000000002</v>
      </c>
      <c r="H4" s="2">
        <v>12350</v>
      </c>
      <c r="I4" s="2" t="s">
        <v>34</v>
      </c>
      <c r="J4" s="2" t="s">
        <v>127</v>
      </c>
      <c r="K4" s="1">
        <v>45128</v>
      </c>
    </row>
    <row r="5" spans="1:11" x14ac:dyDescent="0.35">
      <c r="A5" t="s">
        <v>166</v>
      </c>
      <c r="B5" s="1">
        <v>45108</v>
      </c>
      <c r="C5" t="s">
        <v>163</v>
      </c>
      <c r="D5" t="s">
        <v>148</v>
      </c>
      <c r="E5" s="2">
        <v>1000</v>
      </c>
      <c r="F5" s="2">
        <v>6000</v>
      </c>
      <c r="G5" s="2">
        <v>3.52</v>
      </c>
      <c r="H5" s="2">
        <v>21120</v>
      </c>
      <c r="I5" s="2" t="s">
        <v>34</v>
      </c>
      <c r="J5" s="2" t="s">
        <v>127</v>
      </c>
      <c r="K5" s="1">
        <v>45124</v>
      </c>
    </row>
    <row r="6" spans="1:11" x14ac:dyDescent="0.35">
      <c r="A6" t="s">
        <v>167</v>
      </c>
      <c r="B6" s="1">
        <v>45108</v>
      </c>
      <c r="C6" t="s">
        <v>163</v>
      </c>
      <c r="D6" t="s">
        <v>150</v>
      </c>
      <c r="E6" s="2">
        <v>500</v>
      </c>
      <c r="F6" s="2">
        <v>4500</v>
      </c>
      <c r="G6" s="2">
        <v>7.04</v>
      </c>
      <c r="H6" s="2">
        <v>31680</v>
      </c>
      <c r="I6" s="2" t="s">
        <v>43</v>
      </c>
      <c r="J6" s="2" t="s">
        <v>118</v>
      </c>
      <c r="K6" s="1">
        <v>45129</v>
      </c>
    </row>
    <row r="7" spans="1:11" x14ac:dyDescent="0.35">
      <c r="A7" t="s">
        <v>168</v>
      </c>
      <c r="B7" s="1">
        <v>45108</v>
      </c>
      <c r="C7" t="s">
        <v>163</v>
      </c>
      <c r="D7" t="s">
        <v>116</v>
      </c>
      <c r="E7" s="2">
        <v>500</v>
      </c>
      <c r="F7" s="2">
        <v>11500</v>
      </c>
      <c r="G7" s="2">
        <v>6.96</v>
      </c>
      <c r="H7" s="2">
        <v>80040</v>
      </c>
      <c r="I7" s="2" t="s">
        <v>46</v>
      </c>
      <c r="J7" s="2" t="s">
        <v>118</v>
      </c>
      <c r="K7" s="1">
        <v>45123</v>
      </c>
    </row>
    <row r="8" spans="1:11" x14ac:dyDescent="0.35">
      <c r="A8" t="s">
        <v>169</v>
      </c>
      <c r="B8" s="1">
        <v>45108</v>
      </c>
      <c r="C8" t="s">
        <v>163</v>
      </c>
      <c r="D8" t="s">
        <v>119</v>
      </c>
      <c r="E8" s="2">
        <v>500</v>
      </c>
      <c r="F8" s="2">
        <v>11000</v>
      </c>
      <c r="G8" s="2">
        <v>10.15</v>
      </c>
      <c r="H8" s="2">
        <v>111650</v>
      </c>
      <c r="I8" s="2" t="s">
        <v>46</v>
      </c>
      <c r="J8" s="2" t="s">
        <v>118</v>
      </c>
      <c r="K8" s="1">
        <v>45129</v>
      </c>
    </row>
    <row r="9" spans="1:11" x14ac:dyDescent="0.35">
      <c r="A9" t="s">
        <v>170</v>
      </c>
      <c r="B9" s="1">
        <v>45108</v>
      </c>
      <c r="C9" t="s">
        <v>163</v>
      </c>
      <c r="D9" t="s">
        <v>121</v>
      </c>
      <c r="E9" s="2">
        <v>500</v>
      </c>
      <c r="F9" s="2">
        <v>9500</v>
      </c>
      <c r="G9" s="2">
        <v>4.5</v>
      </c>
      <c r="H9" s="2">
        <v>42750</v>
      </c>
      <c r="I9" s="2" t="s">
        <v>52</v>
      </c>
      <c r="J9" s="2" t="s">
        <v>118</v>
      </c>
      <c r="K9" s="1">
        <v>45127</v>
      </c>
    </row>
    <row r="10" spans="1:11" x14ac:dyDescent="0.35">
      <c r="A10" t="s">
        <v>171</v>
      </c>
      <c r="B10" s="1">
        <v>45108</v>
      </c>
      <c r="C10" t="s">
        <v>163</v>
      </c>
      <c r="D10" t="s">
        <v>123</v>
      </c>
      <c r="E10" s="2">
        <v>500</v>
      </c>
      <c r="F10" s="2">
        <v>17500</v>
      </c>
      <c r="G10" s="2">
        <v>5.12</v>
      </c>
      <c r="H10" s="2">
        <v>89600</v>
      </c>
      <c r="I10" s="2" t="s">
        <v>46</v>
      </c>
      <c r="J10" s="2" t="s">
        <v>118</v>
      </c>
      <c r="K10" s="1">
        <v>45130</v>
      </c>
    </row>
    <row r="11" spans="1:11" x14ac:dyDescent="0.35">
      <c r="A11" t="s">
        <v>172</v>
      </c>
      <c r="B11" s="1">
        <v>45108</v>
      </c>
      <c r="C11" t="s">
        <v>163</v>
      </c>
      <c r="D11" t="s">
        <v>125</v>
      </c>
      <c r="E11" s="2">
        <v>1000</v>
      </c>
      <c r="F11" s="2">
        <v>14000</v>
      </c>
      <c r="G11" s="2">
        <v>3.96</v>
      </c>
      <c r="H11" s="2">
        <v>55440</v>
      </c>
      <c r="I11" s="2" t="s">
        <v>34</v>
      </c>
      <c r="J11" s="2" t="s">
        <v>127</v>
      </c>
      <c r="K11" s="1">
        <v>45123</v>
      </c>
    </row>
    <row r="12" spans="1:11" x14ac:dyDescent="0.35">
      <c r="A12" t="s">
        <v>173</v>
      </c>
      <c r="B12" s="1">
        <v>45108</v>
      </c>
      <c r="C12" t="s">
        <v>163</v>
      </c>
      <c r="D12" t="s">
        <v>128</v>
      </c>
      <c r="E12" s="2">
        <v>1000</v>
      </c>
      <c r="F12" s="2">
        <v>14000</v>
      </c>
      <c r="G12" s="2">
        <v>3.5</v>
      </c>
      <c r="H12" s="2">
        <v>49000</v>
      </c>
      <c r="I12" s="2" t="s">
        <v>34</v>
      </c>
      <c r="J12" s="2" t="s">
        <v>127</v>
      </c>
      <c r="K12" s="1">
        <v>45120</v>
      </c>
    </row>
    <row r="13" spans="1:11" x14ac:dyDescent="0.35">
      <c r="A13" t="s">
        <v>174</v>
      </c>
      <c r="B13" s="1">
        <v>45108</v>
      </c>
      <c r="C13" t="s">
        <v>163</v>
      </c>
      <c r="D13" t="s">
        <v>130</v>
      </c>
      <c r="E13" s="2">
        <v>1000</v>
      </c>
      <c r="F13" s="2">
        <v>15000</v>
      </c>
      <c r="G13" s="2">
        <v>2.96</v>
      </c>
      <c r="H13" s="2">
        <v>44400</v>
      </c>
      <c r="I13" s="2" t="s">
        <v>34</v>
      </c>
      <c r="J13" s="2" t="s">
        <v>127</v>
      </c>
      <c r="K13" s="1">
        <v>45124</v>
      </c>
    </row>
    <row r="14" spans="1:11" x14ac:dyDescent="0.35">
      <c r="A14" t="s">
        <v>175</v>
      </c>
      <c r="B14" s="1">
        <v>45108</v>
      </c>
      <c r="C14" t="s">
        <v>163</v>
      </c>
      <c r="D14" t="s">
        <v>132</v>
      </c>
      <c r="E14" s="2">
        <v>1000</v>
      </c>
      <c r="F14" s="2">
        <v>10000</v>
      </c>
      <c r="G14" s="2">
        <v>4.8</v>
      </c>
      <c r="H14" s="2">
        <v>48000</v>
      </c>
      <c r="I14" s="2" t="s">
        <v>39</v>
      </c>
      <c r="J14" s="2" t="s">
        <v>127</v>
      </c>
      <c r="K14" s="1">
        <v>45127</v>
      </c>
    </row>
    <row r="15" spans="1:11" x14ac:dyDescent="0.35">
      <c r="A15" t="s">
        <v>176</v>
      </c>
      <c r="B15" s="1">
        <v>45108</v>
      </c>
      <c r="C15" t="s">
        <v>163</v>
      </c>
      <c r="D15" t="s">
        <v>134</v>
      </c>
      <c r="E15" s="2">
        <v>500</v>
      </c>
      <c r="F15" s="2">
        <v>11000</v>
      </c>
      <c r="G15" s="2">
        <v>5.94</v>
      </c>
      <c r="H15" s="2">
        <v>65340</v>
      </c>
      <c r="I15" s="2" t="s">
        <v>43</v>
      </c>
      <c r="J15" s="2" t="s">
        <v>118</v>
      </c>
      <c r="K15" s="1">
        <v>45124</v>
      </c>
    </row>
    <row r="16" spans="1:11" x14ac:dyDescent="0.35">
      <c r="A16" t="s">
        <v>177</v>
      </c>
      <c r="B16" s="1">
        <v>45108</v>
      </c>
      <c r="C16" t="s">
        <v>163</v>
      </c>
      <c r="D16" t="s">
        <v>136</v>
      </c>
      <c r="E16" s="2">
        <v>1000</v>
      </c>
      <c r="F16" s="2">
        <v>14000</v>
      </c>
      <c r="G16" s="2">
        <v>2.4700000000000002</v>
      </c>
      <c r="H16" s="2">
        <v>34580</v>
      </c>
      <c r="I16" s="2" t="s">
        <v>34</v>
      </c>
      <c r="J16" s="2" t="s">
        <v>127</v>
      </c>
      <c r="K16" s="1">
        <v>45127</v>
      </c>
    </row>
    <row r="17" spans="1:11" x14ac:dyDescent="0.35">
      <c r="A17" t="s">
        <v>178</v>
      </c>
      <c r="B17" s="1">
        <v>45108</v>
      </c>
      <c r="C17" t="s">
        <v>163</v>
      </c>
      <c r="D17" t="s">
        <v>138</v>
      </c>
      <c r="E17" s="2">
        <v>1000</v>
      </c>
      <c r="F17" s="2">
        <v>11000</v>
      </c>
      <c r="G17" s="2">
        <v>1.8</v>
      </c>
      <c r="H17" s="2">
        <v>19800</v>
      </c>
      <c r="I17" s="2" t="s">
        <v>34</v>
      </c>
      <c r="J17" s="2" t="s">
        <v>127</v>
      </c>
      <c r="K17" s="1">
        <v>45122</v>
      </c>
    </row>
    <row r="18" spans="1:11" x14ac:dyDescent="0.35">
      <c r="A18" t="s">
        <v>179</v>
      </c>
      <c r="B18" s="1">
        <v>45108</v>
      </c>
      <c r="C18" t="s">
        <v>163</v>
      </c>
      <c r="D18" t="s">
        <v>140</v>
      </c>
      <c r="E18" s="2">
        <v>1000</v>
      </c>
      <c r="F18" s="2">
        <v>12000</v>
      </c>
      <c r="G18" s="2">
        <v>2.85</v>
      </c>
      <c r="H18" s="2">
        <v>34200</v>
      </c>
      <c r="I18" s="2" t="s">
        <v>34</v>
      </c>
      <c r="J18" s="2" t="s">
        <v>127</v>
      </c>
      <c r="K18" s="1">
        <v>45120</v>
      </c>
    </row>
    <row r="19" spans="1:11" x14ac:dyDescent="0.35">
      <c r="A19" t="s">
        <v>180</v>
      </c>
      <c r="B19" s="1">
        <v>45139</v>
      </c>
      <c r="C19" t="s">
        <v>181</v>
      </c>
      <c r="D19" t="s">
        <v>142</v>
      </c>
      <c r="E19" s="2">
        <v>500</v>
      </c>
      <c r="F19" s="2">
        <v>6500</v>
      </c>
      <c r="G19" s="2">
        <v>10.88</v>
      </c>
      <c r="H19" s="2">
        <v>70720</v>
      </c>
      <c r="I19" s="2" t="s">
        <v>46</v>
      </c>
      <c r="J19" s="2" t="s">
        <v>118</v>
      </c>
      <c r="K19" s="1">
        <v>45155</v>
      </c>
    </row>
    <row r="20" spans="1:11" x14ac:dyDescent="0.35">
      <c r="A20" t="s">
        <v>182</v>
      </c>
      <c r="B20" s="1">
        <v>45139</v>
      </c>
      <c r="C20" t="s">
        <v>181</v>
      </c>
      <c r="D20" t="s">
        <v>144</v>
      </c>
      <c r="E20" s="2">
        <v>1000</v>
      </c>
      <c r="F20" s="2">
        <v>6000</v>
      </c>
      <c r="G20" s="2">
        <v>5.04</v>
      </c>
      <c r="H20" s="2">
        <v>30240</v>
      </c>
      <c r="I20" s="2" t="s">
        <v>39</v>
      </c>
      <c r="J20" s="2" t="s">
        <v>127</v>
      </c>
      <c r="K20" s="1">
        <v>45157</v>
      </c>
    </row>
    <row r="21" spans="1:11" x14ac:dyDescent="0.35">
      <c r="A21" t="s">
        <v>183</v>
      </c>
      <c r="B21" s="1">
        <v>45139</v>
      </c>
      <c r="C21" t="s">
        <v>181</v>
      </c>
      <c r="D21" t="s">
        <v>146</v>
      </c>
      <c r="E21" s="2">
        <v>1000</v>
      </c>
      <c r="F21" s="2">
        <v>5000</v>
      </c>
      <c r="G21" s="2">
        <v>2.4700000000000002</v>
      </c>
      <c r="H21" s="2">
        <v>12350</v>
      </c>
      <c r="I21" s="2" t="s">
        <v>34</v>
      </c>
      <c r="J21" s="2" t="s">
        <v>127</v>
      </c>
      <c r="K21" s="1">
        <v>45159</v>
      </c>
    </row>
    <row r="22" spans="1:11" x14ac:dyDescent="0.35">
      <c r="A22" t="s">
        <v>184</v>
      </c>
      <c r="B22" s="1">
        <v>45139</v>
      </c>
      <c r="C22" t="s">
        <v>181</v>
      </c>
      <c r="D22" t="s">
        <v>148</v>
      </c>
      <c r="E22" s="2">
        <v>1000</v>
      </c>
      <c r="F22" s="2">
        <v>6000</v>
      </c>
      <c r="G22" s="2">
        <v>3.52</v>
      </c>
      <c r="H22" s="2">
        <v>21120</v>
      </c>
      <c r="I22" s="2" t="s">
        <v>34</v>
      </c>
      <c r="J22" s="2" t="s">
        <v>127</v>
      </c>
      <c r="K22" s="1">
        <v>45157</v>
      </c>
    </row>
    <row r="23" spans="1:11" x14ac:dyDescent="0.35">
      <c r="A23" t="s">
        <v>185</v>
      </c>
      <c r="B23" s="1">
        <v>45139</v>
      </c>
      <c r="C23" t="s">
        <v>181</v>
      </c>
      <c r="D23" t="s">
        <v>150</v>
      </c>
      <c r="E23" s="2">
        <v>500</v>
      </c>
      <c r="F23" s="2">
        <v>4500</v>
      </c>
      <c r="G23" s="2">
        <v>7.04</v>
      </c>
      <c r="H23" s="2">
        <v>31680</v>
      </c>
      <c r="I23" s="2" t="s">
        <v>43</v>
      </c>
      <c r="J23" s="2" t="s">
        <v>118</v>
      </c>
      <c r="K23" s="1">
        <v>45161</v>
      </c>
    </row>
    <row r="24" spans="1:11" x14ac:dyDescent="0.35">
      <c r="A24" t="s">
        <v>186</v>
      </c>
      <c r="B24" s="1">
        <v>45139</v>
      </c>
      <c r="C24" t="s">
        <v>181</v>
      </c>
      <c r="D24" t="s">
        <v>116</v>
      </c>
      <c r="E24" s="2">
        <v>500</v>
      </c>
      <c r="F24" s="2">
        <v>11500</v>
      </c>
      <c r="G24" s="2">
        <v>6.96</v>
      </c>
      <c r="H24" s="2">
        <v>80040</v>
      </c>
      <c r="I24" s="2" t="s">
        <v>46</v>
      </c>
      <c r="J24" s="2" t="s">
        <v>118</v>
      </c>
      <c r="K24" s="1">
        <v>45154</v>
      </c>
    </row>
    <row r="25" spans="1:11" x14ac:dyDescent="0.35">
      <c r="A25" t="s">
        <v>187</v>
      </c>
      <c r="B25" s="1">
        <v>45139</v>
      </c>
      <c r="C25" t="s">
        <v>181</v>
      </c>
      <c r="D25" t="s">
        <v>119</v>
      </c>
      <c r="E25" s="2">
        <v>500</v>
      </c>
      <c r="F25" s="2">
        <v>11000</v>
      </c>
      <c r="G25" s="2">
        <v>10.15</v>
      </c>
      <c r="H25" s="2">
        <v>111650</v>
      </c>
      <c r="I25" s="2" t="s">
        <v>46</v>
      </c>
      <c r="J25" s="2" t="s">
        <v>118</v>
      </c>
      <c r="K25" s="1">
        <v>45162</v>
      </c>
    </row>
    <row r="26" spans="1:11" x14ac:dyDescent="0.35">
      <c r="A26" t="s">
        <v>188</v>
      </c>
      <c r="B26" s="1">
        <v>45139</v>
      </c>
      <c r="C26" t="s">
        <v>181</v>
      </c>
      <c r="D26" t="s">
        <v>121</v>
      </c>
      <c r="E26" s="2">
        <v>500</v>
      </c>
      <c r="F26" s="2">
        <v>9500</v>
      </c>
      <c r="G26" s="2">
        <v>4.5</v>
      </c>
      <c r="H26" s="2">
        <v>42750</v>
      </c>
      <c r="I26" s="2" t="s">
        <v>52</v>
      </c>
      <c r="J26" s="2" t="s">
        <v>118</v>
      </c>
      <c r="K26" s="1">
        <v>45160</v>
      </c>
    </row>
    <row r="27" spans="1:11" x14ac:dyDescent="0.35">
      <c r="A27" t="s">
        <v>189</v>
      </c>
      <c r="B27" s="1">
        <v>45139</v>
      </c>
      <c r="C27" t="s">
        <v>181</v>
      </c>
      <c r="D27" t="s">
        <v>123</v>
      </c>
      <c r="E27" s="2">
        <v>500</v>
      </c>
      <c r="F27" s="2">
        <v>17500</v>
      </c>
      <c r="G27" s="2">
        <v>5.12</v>
      </c>
      <c r="H27" s="2">
        <v>89600</v>
      </c>
      <c r="I27" s="2" t="s">
        <v>46</v>
      </c>
      <c r="J27" s="2" t="s">
        <v>118</v>
      </c>
      <c r="K27" s="1">
        <v>45160</v>
      </c>
    </row>
    <row r="28" spans="1:11" x14ac:dyDescent="0.35">
      <c r="A28" t="s">
        <v>190</v>
      </c>
      <c r="B28" s="1">
        <v>45139</v>
      </c>
      <c r="C28" t="s">
        <v>181</v>
      </c>
      <c r="D28" t="s">
        <v>125</v>
      </c>
      <c r="E28" s="2">
        <v>1000</v>
      </c>
      <c r="F28" s="2">
        <v>14000</v>
      </c>
      <c r="G28" s="2">
        <v>3.96</v>
      </c>
      <c r="H28" s="2">
        <v>55440</v>
      </c>
      <c r="I28" s="2" t="s">
        <v>34</v>
      </c>
      <c r="J28" s="2" t="s">
        <v>127</v>
      </c>
      <c r="K28" s="1">
        <v>45155</v>
      </c>
    </row>
    <row r="29" spans="1:11" x14ac:dyDescent="0.35">
      <c r="A29" t="s">
        <v>191</v>
      </c>
      <c r="B29" s="1">
        <v>45139</v>
      </c>
      <c r="C29" t="s">
        <v>181</v>
      </c>
      <c r="D29" t="s">
        <v>128</v>
      </c>
      <c r="E29" s="2">
        <v>1000</v>
      </c>
      <c r="F29" s="2">
        <v>14000</v>
      </c>
      <c r="G29" s="2">
        <v>3.5</v>
      </c>
      <c r="H29" s="2">
        <v>49000</v>
      </c>
      <c r="I29" s="2" t="s">
        <v>34</v>
      </c>
      <c r="J29" s="2" t="s">
        <v>127</v>
      </c>
      <c r="K29" s="1">
        <v>45152</v>
      </c>
    </row>
    <row r="30" spans="1:11" x14ac:dyDescent="0.35">
      <c r="A30" t="s">
        <v>192</v>
      </c>
      <c r="B30" s="1">
        <v>45139</v>
      </c>
      <c r="C30" t="s">
        <v>181</v>
      </c>
      <c r="D30" t="s">
        <v>130</v>
      </c>
      <c r="E30" s="2">
        <v>1000</v>
      </c>
      <c r="F30" s="2">
        <v>15000</v>
      </c>
      <c r="G30" s="2">
        <v>2.96</v>
      </c>
      <c r="H30" s="2">
        <v>44400</v>
      </c>
      <c r="I30" s="2" t="s">
        <v>34</v>
      </c>
      <c r="J30" s="2" t="s">
        <v>127</v>
      </c>
      <c r="K30" s="1">
        <v>45153</v>
      </c>
    </row>
    <row r="31" spans="1:11" x14ac:dyDescent="0.35">
      <c r="A31" t="s">
        <v>193</v>
      </c>
      <c r="B31" s="1">
        <v>45139</v>
      </c>
      <c r="C31" t="s">
        <v>181</v>
      </c>
      <c r="D31" t="s">
        <v>132</v>
      </c>
      <c r="E31" s="2">
        <v>1000</v>
      </c>
      <c r="F31" s="2">
        <v>10000</v>
      </c>
      <c r="G31" s="2">
        <v>4.8</v>
      </c>
      <c r="H31" s="2">
        <v>48000</v>
      </c>
      <c r="I31" s="2" t="s">
        <v>39</v>
      </c>
      <c r="J31" s="2" t="s">
        <v>127</v>
      </c>
      <c r="K31" s="1">
        <v>45157</v>
      </c>
    </row>
    <row r="32" spans="1:11" x14ac:dyDescent="0.35">
      <c r="A32" t="s">
        <v>194</v>
      </c>
      <c r="B32" s="1">
        <v>45139</v>
      </c>
      <c r="C32" t="s">
        <v>181</v>
      </c>
      <c r="D32" t="s">
        <v>134</v>
      </c>
      <c r="E32" s="2">
        <v>500</v>
      </c>
      <c r="F32" s="2">
        <v>11000</v>
      </c>
      <c r="G32" s="2">
        <v>5.94</v>
      </c>
      <c r="H32" s="2">
        <v>65340</v>
      </c>
      <c r="I32" s="2" t="s">
        <v>43</v>
      </c>
      <c r="J32" s="2" t="s">
        <v>118</v>
      </c>
      <c r="K32" s="1">
        <v>45156</v>
      </c>
    </row>
    <row r="33" spans="1:11" x14ac:dyDescent="0.35">
      <c r="A33" t="s">
        <v>195</v>
      </c>
      <c r="B33" s="1">
        <v>45139</v>
      </c>
      <c r="C33" t="s">
        <v>181</v>
      </c>
      <c r="D33" t="s">
        <v>136</v>
      </c>
      <c r="E33" s="2">
        <v>1000</v>
      </c>
      <c r="F33" s="2">
        <v>14000</v>
      </c>
      <c r="G33" s="2">
        <v>2.4700000000000002</v>
      </c>
      <c r="H33" s="2">
        <v>34580</v>
      </c>
      <c r="I33" s="2" t="s">
        <v>34</v>
      </c>
      <c r="J33" s="2" t="s">
        <v>127</v>
      </c>
      <c r="K33" s="1">
        <v>45158</v>
      </c>
    </row>
    <row r="34" spans="1:11" x14ac:dyDescent="0.35">
      <c r="A34" t="s">
        <v>196</v>
      </c>
      <c r="B34" s="1">
        <v>45139</v>
      </c>
      <c r="C34" t="s">
        <v>181</v>
      </c>
      <c r="D34" t="s">
        <v>138</v>
      </c>
      <c r="E34" s="2">
        <v>1000</v>
      </c>
      <c r="F34" s="2">
        <v>11000</v>
      </c>
      <c r="G34" s="2">
        <v>1.8</v>
      </c>
      <c r="H34" s="2">
        <v>19800</v>
      </c>
      <c r="I34" s="2" t="s">
        <v>34</v>
      </c>
      <c r="J34" s="2" t="s">
        <v>127</v>
      </c>
      <c r="K34" s="1">
        <v>45153</v>
      </c>
    </row>
    <row r="35" spans="1:11" x14ac:dyDescent="0.35">
      <c r="A35" t="s">
        <v>197</v>
      </c>
      <c r="B35" s="1">
        <v>45139</v>
      </c>
      <c r="C35" t="s">
        <v>181</v>
      </c>
      <c r="D35" t="s">
        <v>140</v>
      </c>
      <c r="E35" s="2">
        <v>1000</v>
      </c>
      <c r="F35" s="2">
        <v>12000</v>
      </c>
      <c r="G35" s="2">
        <v>2.85</v>
      </c>
      <c r="H35" s="2">
        <v>34200</v>
      </c>
      <c r="I35" s="2" t="s">
        <v>34</v>
      </c>
      <c r="J35" s="2" t="s">
        <v>127</v>
      </c>
      <c r="K35" s="1">
        <v>45153</v>
      </c>
    </row>
    <row r="36" spans="1:11" x14ac:dyDescent="0.35">
      <c r="A36" t="s">
        <v>198</v>
      </c>
      <c r="B36" s="1">
        <v>45170</v>
      </c>
      <c r="C36" t="s">
        <v>199</v>
      </c>
      <c r="D36" t="s">
        <v>142</v>
      </c>
      <c r="E36" s="2">
        <v>500</v>
      </c>
      <c r="F36" s="2">
        <v>6500</v>
      </c>
      <c r="G36" s="2">
        <v>10.88</v>
      </c>
      <c r="H36" s="2">
        <v>70720</v>
      </c>
      <c r="I36" s="2" t="s">
        <v>46</v>
      </c>
      <c r="J36" s="2" t="s">
        <v>118</v>
      </c>
      <c r="K36" s="1">
        <v>45186</v>
      </c>
    </row>
    <row r="37" spans="1:11" x14ac:dyDescent="0.35">
      <c r="A37" t="s">
        <v>200</v>
      </c>
      <c r="B37" s="1">
        <v>45170</v>
      </c>
      <c r="C37" t="s">
        <v>199</v>
      </c>
      <c r="D37" t="s">
        <v>144</v>
      </c>
      <c r="E37" s="2">
        <v>1000</v>
      </c>
      <c r="F37" s="2">
        <v>6000</v>
      </c>
      <c r="G37" s="2">
        <v>5.04</v>
      </c>
      <c r="H37" s="2">
        <v>30240</v>
      </c>
      <c r="I37" s="2" t="s">
        <v>39</v>
      </c>
      <c r="J37" s="2" t="s">
        <v>127</v>
      </c>
      <c r="K37" s="1">
        <v>45189</v>
      </c>
    </row>
    <row r="38" spans="1:11" x14ac:dyDescent="0.35">
      <c r="A38" t="s">
        <v>201</v>
      </c>
      <c r="B38" s="1">
        <v>45170</v>
      </c>
      <c r="C38" t="s">
        <v>199</v>
      </c>
      <c r="D38" t="s">
        <v>146</v>
      </c>
      <c r="E38" s="2">
        <v>1000</v>
      </c>
      <c r="F38" s="2">
        <v>5000</v>
      </c>
      <c r="G38" s="2">
        <v>2.4700000000000002</v>
      </c>
      <c r="H38" s="2">
        <v>12350</v>
      </c>
      <c r="I38" s="2" t="s">
        <v>34</v>
      </c>
      <c r="J38" s="2" t="s">
        <v>127</v>
      </c>
      <c r="K38" s="1">
        <v>45188</v>
      </c>
    </row>
    <row r="39" spans="1:11" x14ac:dyDescent="0.35">
      <c r="A39" t="s">
        <v>202</v>
      </c>
      <c r="B39" s="1">
        <v>45170</v>
      </c>
      <c r="C39" t="s">
        <v>199</v>
      </c>
      <c r="D39" t="s">
        <v>148</v>
      </c>
      <c r="E39" s="2">
        <v>1000</v>
      </c>
      <c r="F39" s="2">
        <v>6000</v>
      </c>
      <c r="G39" s="2">
        <v>3.52</v>
      </c>
      <c r="H39" s="2">
        <v>21120</v>
      </c>
      <c r="I39" s="2" t="s">
        <v>34</v>
      </c>
      <c r="J39" s="2" t="s">
        <v>127</v>
      </c>
      <c r="K39" s="1">
        <v>45188</v>
      </c>
    </row>
    <row r="40" spans="1:11" x14ac:dyDescent="0.35">
      <c r="A40" t="s">
        <v>203</v>
      </c>
      <c r="B40" s="1">
        <v>45170</v>
      </c>
      <c r="C40" t="s">
        <v>199</v>
      </c>
      <c r="D40" t="s">
        <v>150</v>
      </c>
      <c r="E40" s="2">
        <v>500</v>
      </c>
      <c r="F40" s="2">
        <v>4500</v>
      </c>
      <c r="G40" s="2">
        <v>7.04</v>
      </c>
      <c r="H40" s="2">
        <v>31680</v>
      </c>
      <c r="I40" s="2" t="s">
        <v>43</v>
      </c>
      <c r="J40" s="2" t="s">
        <v>118</v>
      </c>
      <c r="K40" s="1">
        <v>45191</v>
      </c>
    </row>
    <row r="41" spans="1:11" x14ac:dyDescent="0.35">
      <c r="A41" t="s">
        <v>204</v>
      </c>
      <c r="B41" s="1">
        <v>45170</v>
      </c>
      <c r="C41" t="s">
        <v>199</v>
      </c>
      <c r="D41" t="s">
        <v>116</v>
      </c>
      <c r="E41" s="2">
        <v>500</v>
      </c>
      <c r="F41" s="2">
        <v>11500</v>
      </c>
      <c r="G41" s="2">
        <v>6.96</v>
      </c>
      <c r="H41" s="2">
        <v>80040</v>
      </c>
      <c r="I41" s="2" t="s">
        <v>46</v>
      </c>
      <c r="J41" s="2" t="s">
        <v>118</v>
      </c>
      <c r="K41" s="1">
        <v>45185</v>
      </c>
    </row>
    <row r="42" spans="1:11" x14ac:dyDescent="0.35">
      <c r="A42" t="s">
        <v>205</v>
      </c>
      <c r="B42" s="1">
        <v>45170</v>
      </c>
      <c r="C42" t="s">
        <v>199</v>
      </c>
      <c r="D42" t="s">
        <v>119</v>
      </c>
      <c r="E42" s="2">
        <v>500</v>
      </c>
      <c r="F42" s="2">
        <v>11000</v>
      </c>
      <c r="G42" s="2">
        <v>10.15</v>
      </c>
      <c r="H42" s="2">
        <v>111650</v>
      </c>
      <c r="I42" s="2" t="s">
        <v>46</v>
      </c>
      <c r="J42" s="2" t="s">
        <v>118</v>
      </c>
      <c r="K42" s="1">
        <v>45191</v>
      </c>
    </row>
    <row r="43" spans="1:11" x14ac:dyDescent="0.35">
      <c r="A43" t="s">
        <v>206</v>
      </c>
      <c r="B43" s="1">
        <v>45170</v>
      </c>
      <c r="C43" t="s">
        <v>199</v>
      </c>
      <c r="D43" t="s">
        <v>121</v>
      </c>
      <c r="E43" s="2">
        <v>500</v>
      </c>
      <c r="F43" s="2">
        <v>9500</v>
      </c>
      <c r="G43" s="2">
        <v>4.5</v>
      </c>
      <c r="H43" s="2">
        <v>42750</v>
      </c>
      <c r="I43" s="2" t="s">
        <v>52</v>
      </c>
      <c r="J43" s="2" t="s">
        <v>118</v>
      </c>
      <c r="K43" s="1">
        <v>45189</v>
      </c>
    </row>
    <row r="44" spans="1:11" x14ac:dyDescent="0.35">
      <c r="A44" t="s">
        <v>207</v>
      </c>
      <c r="B44" s="1">
        <v>45170</v>
      </c>
      <c r="C44" t="s">
        <v>199</v>
      </c>
      <c r="D44" t="s">
        <v>123</v>
      </c>
      <c r="E44" s="2">
        <v>500</v>
      </c>
      <c r="F44" s="2">
        <v>17500</v>
      </c>
      <c r="G44" s="2">
        <v>5.12</v>
      </c>
      <c r="H44" s="2">
        <v>89600</v>
      </c>
      <c r="I44" s="2" t="s">
        <v>46</v>
      </c>
      <c r="J44" s="2" t="s">
        <v>118</v>
      </c>
      <c r="K44" s="1">
        <v>45192</v>
      </c>
    </row>
    <row r="45" spans="1:11" x14ac:dyDescent="0.35">
      <c r="A45" t="s">
        <v>208</v>
      </c>
      <c r="B45" s="1">
        <v>45170</v>
      </c>
      <c r="C45" t="s">
        <v>199</v>
      </c>
      <c r="D45" t="s">
        <v>125</v>
      </c>
      <c r="E45" s="2">
        <v>1000</v>
      </c>
      <c r="F45" s="2">
        <v>14000</v>
      </c>
      <c r="G45" s="2">
        <v>3.96</v>
      </c>
      <c r="H45" s="2">
        <v>55440</v>
      </c>
      <c r="I45" s="2" t="s">
        <v>34</v>
      </c>
      <c r="J45" s="2" t="s">
        <v>127</v>
      </c>
      <c r="K45" s="1">
        <v>45185</v>
      </c>
    </row>
    <row r="46" spans="1:11" x14ac:dyDescent="0.35">
      <c r="A46" t="s">
        <v>209</v>
      </c>
      <c r="B46" s="1">
        <v>45170</v>
      </c>
      <c r="C46" t="s">
        <v>199</v>
      </c>
      <c r="D46" t="s">
        <v>128</v>
      </c>
      <c r="E46" s="2">
        <v>1000</v>
      </c>
      <c r="F46" s="2">
        <v>14000</v>
      </c>
      <c r="G46" s="2">
        <v>3.5</v>
      </c>
      <c r="H46" s="2">
        <v>49000</v>
      </c>
      <c r="I46" s="2" t="s">
        <v>34</v>
      </c>
      <c r="J46" s="2" t="s">
        <v>127</v>
      </c>
      <c r="K46" s="1">
        <v>45182</v>
      </c>
    </row>
    <row r="47" spans="1:11" x14ac:dyDescent="0.35">
      <c r="A47" t="s">
        <v>210</v>
      </c>
      <c r="B47" s="1">
        <v>45170</v>
      </c>
      <c r="C47" t="s">
        <v>199</v>
      </c>
      <c r="D47" t="s">
        <v>130</v>
      </c>
      <c r="E47" s="2">
        <v>1000</v>
      </c>
      <c r="F47" s="2">
        <v>15000</v>
      </c>
      <c r="G47" s="2">
        <v>2.96</v>
      </c>
      <c r="H47" s="2">
        <v>44400</v>
      </c>
      <c r="I47" s="2" t="s">
        <v>34</v>
      </c>
      <c r="J47" s="2" t="s">
        <v>127</v>
      </c>
      <c r="K47" s="1">
        <v>45184</v>
      </c>
    </row>
    <row r="48" spans="1:11" x14ac:dyDescent="0.35">
      <c r="A48" t="s">
        <v>211</v>
      </c>
      <c r="B48" s="1">
        <v>45170</v>
      </c>
      <c r="C48" t="s">
        <v>199</v>
      </c>
      <c r="D48" t="s">
        <v>132</v>
      </c>
      <c r="E48" s="2">
        <v>1000</v>
      </c>
      <c r="F48" s="2">
        <v>10000</v>
      </c>
      <c r="G48" s="2">
        <v>4.8</v>
      </c>
      <c r="H48" s="2">
        <v>48000</v>
      </c>
      <c r="I48" s="2" t="s">
        <v>39</v>
      </c>
      <c r="J48" s="2" t="s">
        <v>127</v>
      </c>
      <c r="K48" s="1">
        <v>45188</v>
      </c>
    </row>
    <row r="49" spans="1:11" x14ac:dyDescent="0.35">
      <c r="A49" t="s">
        <v>212</v>
      </c>
      <c r="B49" s="1">
        <v>45170</v>
      </c>
      <c r="C49" t="s">
        <v>199</v>
      </c>
      <c r="D49" t="s">
        <v>134</v>
      </c>
      <c r="E49" s="2">
        <v>500</v>
      </c>
      <c r="F49" s="2">
        <v>11000</v>
      </c>
      <c r="G49" s="2">
        <v>5.94</v>
      </c>
      <c r="H49" s="2">
        <v>65340</v>
      </c>
      <c r="I49" s="2" t="s">
        <v>43</v>
      </c>
      <c r="J49" s="2" t="s">
        <v>118</v>
      </c>
      <c r="K49" s="1">
        <v>45188</v>
      </c>
    </row>
    <row r="50" spans="1:11" x14ac:dyDescent="0.35">
      <c r="A50" t="s">
        <v>213</v>
      </c>
      <c r="B50" s="1">
        <v>45170</v>
      </c>
      <c r="C50" t="s">
        <v>199</v>
      </c>
      <c r="D50" t="s">
        <v>136</v>
      </c>
      <c r="E50" s="2">
        <v>1000</v>
      </c>
      <c r="F50" s="2">
        <v>14000</v>
      </c>
      <c r="G50" s="2">
        <v>2.4700000000000002</v>
      </c>
      <c r="H50" s="2">
        <v>34580</v>
      </c>
      <c r="I50" s="2" t="s">
        <v>34</v>
      </c>
      <c r="J50" s="2" t="s">
        <v>127</v>
      </c>
      <c r="K50" s="1">
        <v>45190</v>
      </c>
    </row>
    <row r="51" spans="1:11" x14ac:dyDescent="0.35">
      <c r="A51" t="s">
        <v>214</v>
      </c>
      <c r="B51" s="1">
        <v>45170</v>
      </c>
      <c r="C51" t="s">
        <v>199</v>
      </c>
      <c r="D51" t="s">
        <v>138</v>
      </c>
      <c r="E51" s="2">
        <v>1000</v>
      </c>
      <c r="F51" s="2">
        <v>11000</v>
      </c>
      <c r="G51" s="2">
        <v>1.8</v>
      </c>
      <c r="H51" s="2">
        <v>19800</v>
      </c>
      <c r="I51" s="2" t="s">
        <v>34</v>
      </c>
      <c r="J51" s="2" t="s">
        <v>127</v>
      </c>
      <c r="K51" s="1">
        <v>45184</v>
      </c>
    </row>
    <row r="52" spans="1:11" x14ac:dyDescent="0.35">
      <c r="A52" t="s">
        <v>215</v>
      </c>
      <c r="B52" s="1">
        <v>45170</v>
      </c>
      <c r="C52" t="s">
        <v>199</v>
      </c>
      <c r="D52" t="s">
        <v>140</v>
      </c>
      <c r="E52" s="2">
        <v>1000</v>
      </c>
      <c r="F52" s="2">
        <v>12000</v>
      </c>
      <c r="G52" s="2">
        <v>2.85</v>
      </c>
      <c r="H52" s="2">
        <v>34200</v>
      </c>
      <c r="I52" s="2" t="s">
        <v>34</v>
      </c>
      <c r="J52" s="2" t="s">
        <v>127</v>
      </c>
      <c r="K52" s="1">
        <v>45182</v>
      </c>
    </row>
    <row r="53" spans="1:11" x14ac:dyDescent="0.35">
      <c r="A53" t="s">
        <v>216</v>
      </c>
      <c r="B53" s="1">
        <v>45200</v>
      </c>
      <c r="C53" t="s">
        <v>217</v>
      </c>
      <c r="D53" t="s">
        <v>142</v>
      </c>
      <c r="E53" s="2">
        <v>500</v>
      </c>
      <c r="F53" s="2">
        <v>6500</v>
      </c>
      <c r="G53" s="2">
        <v>10.88</v>
      </c>
      <c r="H53" s="2">
        <v>70720</v>
      </c>
      <c r="I53" s="2" t="s">
        <v>46</v>
      </c>
      <c r="J53" s="2" t="s">
        <v>118</v>
      </c>
      <c r="K53" s="1">
        <v>45216</v>
      </c>
    </row>
    <row r="54" spans="1:11" x14ac:dyDescent="0.35">
      <c r="A54" t="s">
        <v>218</v>
      </c>
      <c r="B54" s="1">
        <v>45200</v>
      </c>
      <c r="C54" t="s">
        <v>217</v>
      </c>
      <c r="D54" t="s">
        <v>144</v>
      </c>
      <c r="E54" s="2">
        <v>1000</v>
      </c>
      <c r="F54" s="2">
        <v>6000</v>
      </c>
      <c r="G54" s="2">
        <v>5.04</v>
      </c>
      <c r="H54" s="2">
        <v>30240</v>
      </c>
      <c r="I54" s="2" t="s">
        <v>39</v>
      </c>
      <c r="J54" s="2" t="s">
        <v>127</v>
      </c>
      <c r="K54" s="1">
        <v>45218</v>
      </c>
    </row>
    <row r="55" spans="1:11" x14ac:dyDescent="0.35">
      <c r="A55" t="s">
        <v>219</v>
      </c>
      <c r="B55" s="1">
        <v>45200</v>
      </c>
      <c r="C55" t="s">
        <v>217</v>
      </c>
      <c r="D55" t="s">
        <v>146</v>
      </c>
      <c r="E55" s="2">
        <v>1000</v>
      </c>
      <c r="F55" s="2">
        <v>5000</v>
      </c>
      <c r="G55" s="2">
        <v>2.4700000000000002</v>
      </c>
      <c r="H55" s="2">
        <v>12350</v>
      </c>
      <c r="I55" s="2" t="s">
        <v>34</v>
      </c>
      <c r="J55" s="2" t="s">
        <v>127</v>
      </c>
      <c r="K55" s="1">
        <v>45219</v>
      </c>
    </row>
    <row r="56" spans="1:11" x14ac:dyDescent="0.35">
      <c r="A56" t="s">
        <v>220</v>
      </c>
      <c r="B56" s="1">
        <v>45200</v>
      </c>
      <c r="C56" t="s">
        <v>217</v>
      </c>
      <c r="D56" t="s">
        <v>148</v>
      </c>
      <c r="E56" s="2">
        <v>1000</v>
      </c>
      <c r="F56" s="2">
        <v>6000</v>
      </c>
      <c r="G56" s="2">
        <v>3.52</v>
      </c>
      <c r="H56" s="2">
        <v>21120</v>
      </c>
      <c r="I56" s="2" t="s">
        <v>34</v>
      </c>
      <c r="J56" s="2" t="s">
        <v>127</v>
      </c>
      <c r="K56" s="1">
        <v>45218</v>
      </c>
    </row>
    <row r="57" spans="1:11" x14ac:dyDescent="0.35">
      <c r="A57" t="s">
        <v>221</v>
      </c>
      <c r="B57" s="1">
        <v>45200</v>
      </c>
      <c r="C57" t="s">
        <v>217</v>
      </c>
      <c r="D57" t="s">
        <v>150</v>
      </c>
      <c r="E57" s="2">
        <v>500</v>
      </c>
      <c r="F57" s="2">
        <v>4500</v>
      </c>
      <c r="G57" s="2">
        <v>7.04</v>
      </c>
      <c r="H57" s="2">
        <v>31680</v>
      </c>
      <c r="I57" s="2" t="s">
        <v>43</v>
      </c>
      <c r="J57" s="2" t="s">
        <v>118</v>
      </c>
      <c r="K57" s="1">
        <v>45221</v>
      </c>
    </row>
    <row r="58" spans="1:11" x14ac:dyDescent="0.35">
      <c r="A58" t="s">
        <v>222</v>
      </c>
      <c r="B58" s="1">
        <v>45200</v>
      </c>
      <c r="C58" t="s">
        <v>217</v>
      </c>
      <c r="D58" t="s">
        <v>116</v>
      </c>
      <c r="E58" s="2">
        <v>500</v>
      </c>
      <c r="F58" s="2">
        <v>11500</v>
      </c>
      <c r="G58" s="2">
        <v>6.96</v>
      </c>
      <c r="H58" s="2">
        <v>80040</v>
      </c>
      <c r="I58" s="2" t="s">
        <v>46</v>
      </c>
      <c r="J58" s="2" t="s">
        <v>118</v>
      </c>
      <c r="K58" s="1">
        <v>45215</v>
      </c>
    </row>
    <row r="59" spans="1:11" x14ac:dyDescent="0.35">
      <c r="A59" t="s">
        <v>223</v>
      </c>
      <c r="B59" s="1">
        <v>45200</v>
      </c>
      <c r="C59" t="s">
        <v>217</v>
      </c>
      <c r="D59" t="s">
        <v>119</v>
      </c>
      <c r="E59" s="2">
        <v>500</v>
      </c>
      <c r="F59" s="2">
        <v>11000</v>
      </c>
      <c r="G59" s="2">
        <v>10.15</v>
      </c>
      <c r="H59" s="2">
        <v>111650</v>
      </c>
      <c r="I59" s="2" t="s">
        <v>46</v>
      </c>
      <c r="J59" s="2" t="s">
        <v>118</v>
      </c>
      <c r="K59" s="1">
        <v>45222</v>
      </c>
    </row>
    <row r="60" spans="1:11" x14ac:dyDescent="0.35">
      <c r="A60" t="s">
        <v>224</v>
      </c>
      <c r="B60" s="1">
        <v>45200</v>
      </c>
      <c r="C60" t="s">
        <v>217</v>
      </c>
      <c r="D60" t="s">
        <v>121</v>
      </c>
      <c r="E60" s="2">
        <v>500</v>
      </c>
      <c r="F60" s="2">
        <v>9500</v>
      </c>
      <c r="G60" s="2">
        <v>4.5</v>
      </c>
      <c r="H60" s="2">
        <v>42750</v>
      </c>
      <c r="I60" s="2" t="s">
        <v>52</v>
      </c>
      <c r="J60" s="2" t="s">
        <v>118</v>
      </c>
      <c r="K60" s="1">
        <v>45219</v>
      </c>
    </row>
    <row r="61" spans="1:11" x14ac:dyDescent="0.35">
      <c r="A61" t="s">
        <v>225</v>
      </c>
      <c r="B61" s="1">
        <v>45200</v>
      </c>
      <c r="C61" t="s">
        <v>217</v>
      </c>
      <c r="D61" t="s">
        <v>123</v>
      </c>
      <c r="E61" s="2">
        <v>500</v>
      </c>
      <c r="F61" s="2">
        <v>17500</v>
      </c>
      <c r="G61" s="2">
        <v>5.12</v>
      </c>
      <c r="H61" s="2">
        <v>89600</v>
      </c>
      <c r="I61" s="2" t="s">
        <v>46</v>
      </c>
      <c r="J61" s="2" t="s">
        <v>118</v>
      </c>
      <c r="K61" s="1">
        <v>45221</v>
      </c>
    </row>
    <row r="62" spans="1:11" x14ac:dyDescent="0.35">
      <c r="A62" t="s">
        <v>226</v>
      </c>
      <c r="B62" s="1">
        <v>45200</v>
      </c>
      <c r="C62" t="s">
        <v>217</v>
      </c>
      <c r="D62" t="s">
        <v>125</v>
      </c>
      <c r="E62" s="2">
        <v>1000</v>
      </c>
      <c r="F62" s="2">
        <v>14000</v>
      </c>
      <c r="G62" s="2">
        <v>3.96</v>
      </c>
      <c r="H62" s="2">
        <v>55440</v>
      </c>
      <c r="I62" s="2" t="s">
        <v>34</v>
      </c>
      <c r="J62" s="2" t="s">
        <v>127</v>
      </c>
      <c r="K62" s="1">
        <v>45216</v>
      </c>
    </row>
    <row r="63" spans="1:11" x14ac:dyDescent="0.35">
      <c r="A63" t="s">
        <v>227</v>
      </c>
      <c r="B63" s="1">
        <v>45200</v>
      </c>
      <c r="C63" t="s">
        <v>217</v>
      </c>
      <c r="D63" t="s">
        <v>128</v>
      </c>
      <c r="E63" s="2">
        <v>1000</v>
      </c>
      <c r="F63" s="2">
        <v>14000</v>
      </c>
      <c r="G63" s="2">
        <v>3.5</v>
      </c>
      <c r="H63" s="2">
        <v>49000</v>
      </c>
      <c r="I63" s="2" t="s">
        <v>34</v>
      </c>
      <c r="J63" s="2" t="s">
        <v>127</v>
      </c>
      <c r="K63" s="1">
        <v>45213</v>
      </c>
    </row>
    <row r="64" spans="1:11" x14ac:dyDescent="0.35">
      <c r="A64" t="s">
        <v>228</v>
      </c>
      <c r="B64" s="1">
        <v>45200</v>
      </c>
      <c r="C64" t="s">
        <v>217</v>
      </c>
      <c r="D64" t="s">
        <v>130</v>
      </c>
      <c r="E64" s="2">
        <v>1000</v>
      </c>
      <c r="F64" s="2">
        <v>15000</v>
      </c>
      <c r="G64" s="2">
        <v>2.96</v>
      </c>
      <c r="H64" s="2">
        <v>44400</v>
      </c>
      <c r="I64" s="2" t="s">
        <v>34</v>
      </c>
      <c r="J64" s="2" t="s">
        <v>127</v>
      </c>
      <c r="K64" s="1">
        <v>45216</v>
      </c>
    </row>
    <row r="65" spans="1:11" x14ac:dyDescent="0.35">
      <c r="A65" t="s">
        <v>229</v>
      </c>
      <c r="B65" s="1">
        <v>45200</v>
      </c>
      <c r="C65" t="s">
        <v>217</v>
      </c>
      <c r="D65" t="s">
        <v>132</v>
      </c>
      <c r="E65" s="2">
        <v>1000</v>
      </c>
      <c r="F65" s="2">
        <v>10000</v>
      </c>
      <c r="G65" s="2">
        <v>4.8</v>
      </c>
      <c r="H65" s="2">
        <v>48000</v>
      </c>
      <c r="I65" s="2" t="s">
        <v>39</v>
      </c>
      <c r="J65" s="2" t="s">
        <v>127</v>
      </c>
      <c r="K65" s="1">
        <v>45219</v>
      </c>
    </row>
    <row r="66" spans="1:11" x14ac:dyDescent="0.35">
      <c r="A66" t="s">
        <v>230</v>
      </c>
      <c r="B66" s="1">
        <v>45200</v>
      </c>
      <c r="C66" t="s">
        <v>217</v>
      </c>
      <c r="D66" t="s">
        <v>134</v>
      </c>
      <c r="E66" s="2">
        <v>500</v>
      </c>
      <c r="F66" s="2">
        <v>11000</v>
      </c>
      <c r="G66" s="2">
        <v>5.94</v>
      </c>
      <c r="H66" s="2">
        <v>65340</v>
      </c>
      <c r="I66" s="2" t="s">
        <v>43</v>
      </c>
      <c r="J66" s="2" t="s">
        <v>118</v>
      </c>
      <c r="K66" s="1">
        <v>45218</v>
      </c>
    </row>
    <row r="67" spans="1:11" x14ac:dyDescent="0.35">
      <c r="A67" t="s">
        <v>231</v>
      </c>
      <c r="B67" s="1">
        <v>45200</v>
      </c>
      <c r="C67" t="s">
        <v>217</v>
      </c>
      <c r="D67" t="s">
        <v>136</v>
      </c>
      <c r="E67" s="2">
        <v>1000</v>
      </c>
      <c r="F67" s="2">
        <v>14000</v>
      </c>
      <c r="G67" s="2">
        <v>2.4700000000000002</v>
      </c>
      <c r="H67" s="2">
        <v>34580</v>
      </c>
      <c r="I67" s="2" t="s">
        <v>34</v>
      </c>
      <c r="J67" s="2" t="s">
        <v>127</v>
      </c>
      <c r="K67" s="1">
        <v>45220</v>
      </c>
    </row>
    <row r="68" spans="1:11" x14ac:dyDescent="0.35">
      <c r="A68" t="s">
        <v>232</v>
      </c>
      <c r="B68" s="1">
        <v>45200</v>
      </c>
      <c r="C68" t="s">
        <v>217</v>
      </c>
      <c r="D68" t="s">
        <v>138</v>
      </c>
      <c r="E68" s="2">
        <v>1000</v>
      </c>
      <c r="F68" s="2">
        <v>11000</v>
      </c>
      <c r="G68" s="2">
        <v>1.8</v>
      </c>
      <c r="H68" s="2">
        <v>19800</v>
      </c>
      <c r="I68" s="2" t="s">
        <v>34</v>
      </c>
      <c r="J68" s="2" t="s">
        <v>127</v>
      </c>
      <c r="K68" s="1">
        <v>45214</v>
      </c>
    </row>
    <row r="69" spans="1:11" x14ac:dyDescent="0.35">
      <c r="A69" t="s">
        <v>233</v>
      </c>
      <c r="B69" s="1">
        <v>45200</v>
      </c>
      <c r="C69" t="s">
        <v>217</v>
      </c>
      <c r="D69" t="s">
        <v>140</v>
      </c>
      <c r="E69" s="2">
        <v>1000</v>
      </c>
      <c r="F69" s="2">
        <v>12000</v>
      </c>
      <c r="G69" s="2">
        <v>2.85</v>
      </c>
      <c r="H69" s="2">
        <v>34200</v>
      </c>
      <c r="I69" s="2" t="s">
        <v>34</v>
      </c>
      <c r="J69" s="2" t="s">
        <v>127</v>
      </c>
      <c r="K69" s="1">
        <v>45214</v>
      </c>
    </row>
    <row r="70" spans="1:11" x14ac:dyDescent="0.35">
      <c r="A70" t="s">
        <v>234</v>
      </c>
      <c r="B70" s="1">
        <v>45231</v>
      </c>
      <c r="C70" t="s">
        <v>235</v>
      </c>
      <c r="D70" t="s">
        <v>142</v>
      </c>
      <c r="E70" s="2">
        <v>500</v>
      </c>
      <c r="F70" s="2">
        <v>6500</v>
      </c>
      <c r="G70" s="2">
        <v>10.88</v>
      </c>
      <c r="H70" s="2">
        <v>70720</v>
      </c>
      <c r="I70" s="2" t="s">
        <v>46</v>
      </c>
      <c r="J70" s="2" t="s">
        <v>118</v>
      </c>
      <c r="K70" s="1">
        <v>45246</v>
      </c>
    </row>
    <row r="71" spans="1:11" x14ac:dyDescent="0.35">
      <c r="A71" t="s">
        <v>236</v>
      </c>
      <c r="B71" s="1">
        <v>45231</v>
      </c>
      <c r="C71" t="s">
        <v>235</v>
      </c>
      <c r="D71" t="s">
        <v>144</v>
      </c>
      <c r="E71" s="2">
        <v>1000</v>
      </c>
      <c r="F71" s="2">
        <v>6000</v>
      </c>
      <c r="G71" s="2">
        <v>5.04</v>
      </c>
      <c r="H71" s="2">
        <v>30240</v>
      </c>
      <c r="I71" s="2" t="s">
        <v>39</v>
      </c>
      <c r="J71" s="2" t="s">
        <v>127</v>
      </c>
      <c r="K71" s="1">
        <v>45249</v>
      </c>
    </row>
    <row r="72" spans="1:11" x14ac:dyDescent="0.35">
      <c r="A72" t="s">
        <v>237</v>
      </c>
      <c r="B72" s="1">
        <v>45231</v>
      </c>
      <c r="C72" t="s">
        <v>235</v>
      </c>
      <c r="D72" t="s">
        <v>146</v>
      </c>
      <c r="E72" s="2">
        <v>1000</v>
      </c>
      <c r="F72" s="2">
        <v>5000</v>
      </c>
      <c r="G72" s="2">
        <v>2.4700000000000002</v>
      </c>
      <c r="H72" s="2">
        <v>12350</v>
      </c>
      <c r="I72" s="2" t="s">
        <v>34</v>
      </c>
      <c r="J72" s="2" t="s">
        <v>127</v>
      </c>
      <c r="K72" s="1">
        <v>45249</v>
      </c>
    </row>
    <row r="73" spans="1:11" x14ac:dyDescent="0.35">
      <c r="A73" t="s">
        <v>238</v>
      </c>
      <c r="B73" s="1">
        <v>45231</v>
      </c>
      <c r="C73" t="s">
        <v>235</v>
      </c>
      <c r="D73" t="s">
        <v>148</v>
      </c>
      <c r="E73" s="2">
        <v>1000</v>
      </c>
      <c r="F73" s="2">
        <v>6000</v>
      </c>
      <c r="G73" s="2">
        <v>3.52</v>
      </c>
      <c r="H73" s="2">
        <v>21120</v>
      </c>
      <c r="I73" s="2" t="s">
        <v>34</v>
      </c>
      <c r="J73" s="2" t="s">
        <v>127</v>
      </c>
      <c r="K73" s="1">
        <v>45247</v>
      </c>
    </row>
    <row r="74" spans="1:11" x14ac:dyDescent="0.35">
      <c r="A74" t="s">
        <v>239</v>
      </c>
      <c r="B74" s="1">
        <v>45231</v>
      </c>
      <c r="C74" t="s">
        <v>235</v>
      </c>
      <c r="D74" t="s">
        <v>150</v>
      </c>
      <c r="E74" s="2">
        <v>500</v>
      </c>
      <c r="F74" s="2">
        <v>4500</v>
      </c>
      <c r="G74" s="2">
        <v>7.04</v>
      </c>
      <c r="H74" s="2">
        <v>31680</v>
      </c>
      <c r="I74" s="2" t="s">
        <v>43</v>
      </c>
      <c r="J74" s="2" t="s">
        <v>118</v>
      </c>
      <c r="K74" s="1">
        <v>45253</v>
      </c>
    </row>
    <row r="75" spans="1:11" x14ac:dyDescent="0.35">
      <c r="A75" t="s">
        <v>240</v>
      </c>
      <c r="B75" s="1">
        <v>45231</v>
      </c>
      <c r="C75" t="s">
        <v>235</v>
      </c>
      <c r="D75" t="s">
        <v>116</v>
      </c>
      <c r="E75" s="2">
        <v>500</v>
      </c>
      <c r="F75" s="2">
        <v>11500</v>
      </c>
      <c r="G75" s="2">
        <v>6.96</v>
      </c>
      <c r="H75" s="2">
        <v>80040</v>
      </c>
      <c r="I75" s="2" t="s">
        <v>46</v>
      </c>
      <c r="J75" s="2" t="s">
        <v>118</v>
      </c>
      <c r="K75" s="1">
        <v>45247</v>
      </c>
    </row>
    <row r="76" spans="1:11" x14ac:dyDescent="0.35">
      <c r="A76" t="s">
        <v>241</v>
      </c>
      <c r="B76" s="1">
        <v>45231</v>
      </c>
      <c r="C76" t="s">
        <v>235</v>
      </c>
      <c r="D76" t="s">
        <v>119</v>
      </c>
      <c r="E76" s="2">
        <v>500</v>
      </c>
      <c r="F76" s="2">
        <v>11000</v>
      </c>
      <c r="G76" s="2">
        <v>10.15</v>
      </c>
      <c r="H76" s="2">
        <v>111650</v>
      </c>
      <c r="I76" s="2" t="s">
        <v>46</v>
      </c>
      <c r="J76" s="2" t="s">
        <v>118</v>
      </c>
      <c r="K76" s="1">
        <v>45252</v>
      </c>
    </row>
    <row r="77" spans="1:11" x14ac:dyDescent="0.35">
      <c r="A77" t="s">
        <v>242</v>
      </c>
      <c r="B77" s="1">
        <v>45231</v>
      </c>
      <c r="C77" t="s">
        <v>235</v>
      </c>
      <c r="D77" t="s">
        <v>121</v>
      </c>
      <c r="E77" s="2">
        <v>500</v>
      </c>
      <c r="F77" s="2">
        <v>9500</v>
      </c>
      <c r="G77" s="2">
        <v>4.5</v>
      </c>
      <c r="H77" s="2">
        <v>42750</v>
      </c>
      <c r="I77" s="2" t="s">
        <v>52</v>
      </c>
      <c r="J77" s="2" t="s">
        <v>118</v>
      </c>
      <c r="K77" s="1">
        <v>45250</v>
      </c>
    </row>
    <row r="78" spans="1:11" x14ac:dyDescent="0.35">
      <c r="A78" t="s">
        <v>243</v>
      </c>
      <c r="B78" s="1">
        <v>45231</v>
      </c>
      <c r="C78" t="s">
        <v>235</v>
      </c>
      <c r="D78" t="s">
        <v>123</v>
      </c>
      <c r="E78" s="2">
        <v>500</v>
      </c>
      <c r="F78" s="2">
        <v>17500</v>
      </c>
      <c r="G78" s="2">
        <v>5.12</v>
      </c>
      <c r="H78" s="2">
        <v>89600</v>
      </c>
      <c r="I78" s="2" t="s">
        <v>46</v>
      </c>
      <c r="J78" s="2" t="s">
        <v>118</v>
      </c>
      <c r="K78" s="1">
        <v>45252</v>
      </c>
    </row>
    <row r="79" spans="1:11" x14ac:dyDescent="0.35">
      <c r="A79" t="s">
        <v>244</v>
      </c>
      <c r="B79" s="1">
        <v>45231</v>
      </c>
      <c r="C79" t="s">
        <v>235</v>
      </c>
      <c r="D79" t="s">
        <v>125</v>
      </c>
      <c r="E79" s="2">
        <v>1000</v>
      </c>
      <c r="F79" s="2">
        <v>14000</v>
      </c>
      <c r="G79" s="2">
        <v>3.96</v>
      </c>
      <c r="H79" s="2">
        <v>55440</v>
      </c>
      <c r="I79" s="2" t="s">
        <v>34</v>
      </c>
      <c r="J79" s="2" t="s">
        <v>127</v>
      </c>
      <c r="K79" s="1">
        <v>45245</v>
      </c>
    </row>
    <row r="80" spans="1:11" x14ac:dyDescent="0.35">
      <c r="A80" t="s">
        <v>245</v>
      </c>
      <c r="B80" s="1">
        <v>45231</v>
      </c>
      <c r="C80" t="s">
        <v>235</v>
      </c>
      <c r="D80" t="s">
        <v>128</v>
      </c>
      <c r="E80" s="2">
        <v>1000</v>
      </c>
      <c r="F80" s="2">
        <v>14000</v>
      </c>
      <c r="G80" s="2">
        <v>3.5</v>
      </c>
      <c r="H80" s="2">
        <v>49000</v>
      </c>
      <c r="I80" s="2" t="s">
        <v>34</v>
      </c>
      <c r="J80" s="2" t="s">
        <v>127</v>
      </c>
      <c r="K80" s="1">
        <v>45244</v>
      </c>
    </row>
    <row r="81" spans="1:11" x14ac:dyDescent="0.35">
      <c r="A81" t="s">
        <v>246</v>
      </c>
      <c r="B81" s="1">
        <v>45231</v>
      </c>
      <c r="C81" t="s">
        <v>235</v>
      </c>
      <c r="D81" t="s">
        <v>130</v>
      </c>
      <c r="E81" s="2">
        <v>1000</v>
      </c>
      <c r="F81" s="2">
        <v>15000</v>
      </c>
      <c r="G81" s="2">
        <v>2.96</v>
      </c>
      <c r="H81" s="2">
        <v>44400</v>
      </c>
      <c r="I81" s="2" t="s">
        <v>34</v>
      </c>
      <c r="J81" s="2" t="s">
        <v>127</v>
      </c>
      <c r="K81" s="1">
        <v>45245</v>
      </c>
    </row>
    <row r="82" spans="1:11" x14ac:dyDescent="0.35">
      <c r="A82" t="s">
        <v>247</v>
      </c>
      <c r="B82" s="1">
        <v>45231</v>
      </c>
      <c r="C82" t="s">
        <v>235</v>
      </c>
      <c r="D82" t="s">
        <v>132</v>
      </c>
      <c r="E82" s="2">
        <v>1000</v>
      </c>
      <c r="F82" s="2">
        <v>10000</v>
      </c>
      <c r="G82" s="2">
        <v>4.8</v>
      </c>
      <c r="H82" s="2">
        <v>48000</v>
      </c>
      <c r="I82" s="2" t="s">
        <v>39</v>
      </c>
      <c r="J82" s="2" t="s">
        <v>127</v>
      </c>
      <c r="K82" s="1">
        <v>45251</v>
      </c>
    </row>
    <row r="83" spans="1:11" x14ac:dyDescent="0.35">
      <c r="A83" t="s">
        <v>248</v>
      </c>
      <c r="B83" s="1">
        <v>45231</v>
      </c>
      <c r="C83" t="s">
        <v>235</v>
      </c>
      <c r="D83" t="s">
        <v>134</v>
      </c>
      <c r="E83" s="2">
        <v>500</v>
      </c>
      <c r="F83" s="2">
        <v>11000</v>
      </c>
      <c r="G83" s="2">
        <v>5.94</v>
      </c>
      <c r="H83" s="2">
        <v>65340</v>
      </c>
      <c r="I83" s="2" t="s">
        <v>43</v>
      </c>
      <c r="J83" s="2" t="s">
        <v>118</v>
      </c>
      <c r="K83" s="1">
        <v>45248</v>
      </c>
    </row>
    <row r="84" spans="1:11" x14ac:dyDescent="0.35">
      <c r="A84" t="s">
        <v>249</v>
      </c>
      <c r="B84" s="1">
        <v>45231</v>
      </c>
      <c r="C84" t="s">
        <v>235</v>
      </c>
      <c r="D84" t="s">
        <v>136</v>
      </c>
      <c r="E84" s="2">
        <v>1000</v>
      </c>
      <c r="F84" s="2">
        <v>14000</v>
      </c>
      <c r="G84" s="2">
        <v>2.4700000000000002</v>
      </c>
      <c r="H84" s="2">
        <v>34580</v>
      </c>
      <c r="I84" s="2" t="s">
        <v>34</v>
      </c>
      <c r="J84" s="2" t="s">
        <v>127</v>
      </c>
      <c r="K84" s="1">
        <v>45251</v>
      </c>
    </row>
    <row r="85" spans="1:11" x14ac:dyDescent="0.35">
      <c r="A85" t="s">
        <v>250</v>
      </c>
      <c r="B85" s="1">
        <v>45231</v>
      </c>
      <c r="C85" t="s">
        <v>235</v>
      </c>
      <c r="D85" t="s">
        <v>138</v>
      </c>
      <c r="E85" s="2">
        <v>1000</v>
      </c>
      <c r="F85" s="2">
        <v>11000</v>
      </c>
      <c r="G85" s="2">
        <v>1.8</v>
      </c>
      <c r="H85" s="2">
        <v>19800</v>
      </c>
      <c r="I85" s="2" t="s">
        <v>34</v>
      </c>
      <c r="J85" s="2" t="s">
        <v>127</v>
      </c>
      <c r="K85" s="1">
        <v>45244</v>
      </c>
    </row>
    <row r="86" spans="1:11" x14ac:dyDescent="0.35">
      <c r="A86" t="s">
        <v>251</v>
      </c>
      <c r="B86" s="1">
        <v>45231</v>
      </c>
      <c r="C86" t="s">
        <v>235</v>
      </c>
      <c r="D86" t="s">
        <v>140</v>
      </c>
      <c r="E86" s="2">
        <v>1000</v>
      </c>
      <c r="F86" s="2">
        <v>12000</v>
      </c>
      <c r="G86" s="2">
        <v>2.85</v>
      </c>
      <c r="H86" s="2">
        <v>34200</v>
      </c>
      <c r="I86" s="2" t="s">
        <v>34</v>
      </c>
      <c r="J86" s="2" t="s">
        <v>127</v>
      </c>
      <c r="K86" s="1">
        <v>45244</v>
      </c>
    </row>
    <row r="87" spans="1:11" x14ac:dyDescent="0.35">
      <c r="A87" t="s">
        <v>252</v>
      </c>
      <c r="B87" s="1">
        <v>45261</v>
      </c>
      <c r="C87" t="s">
        <v>253</v>
      </c>
      <c r="D87" t="s">
        <v>142</v>
      </c>
      <c r="E87" s="2">
        <v>500</v>
      </c>
      <c r="F87" s="2">
        <v>6500</v>
      </c>
      <c r="G87" s="2">
        <v>10.88</v>
      </c>
      <c r="H87" s="2">
        <v>70720</v>
      </c>
      <c r="I87" s="2" t="s">
        <v>46</v>
      </c>
      <c r="J87" s="2" t="s">
        <v>118</v>
      </c>
      <c r="K87" s="1">
        <v>45276</v>
      </c>
    </row>
    <row r="88" spans="1:11" x14ac:dyDescent="0.35">
      <c r="A88" t="s">
        <v>254</v>
      </c>
      <c r="B88" s="1">
        <v>45261</v>
      </c>
      <c r="C88" t="s">
        <v>253</v>
      </c>
      <c r="D88" t="s">
        <v>144</v>
      </c>
      <c r="E88" s="2">
        <v>1000</v>
      </c>
      <c r="F88" s="2">
        <v>6000</v>
      </c>
      <c r="G88" s="2">
        <v>5.04</v>
      </c>
      <c r="H88" s="2">
        <v>30240</v>
      </c>
      <c r="I88" s="2" t="s">
        <v>39</v>
      </c>
      <c r="J88" s="2" t="s">
        <v>127</v>
      </c>
      <c r="K88" s="1">
        <v>45280</v>
      </c>
    </row>
    <row r="89" spans="1:11" x14ac:dyDescent="0.35">
      <c r="A89" t="s">
        <v>255</v>
      </c>
      <c r="B89" s="1">
        <v>45261</v>
      </c>
      <c r="C89" t="s">
        <v>253</v>
      </c>
      <c r="D89" t="s">
        <v>146</v>
      </c>
      <c r="E89" s="2">
        <v>1000</v>
      </c>
      <c r="F89" s="2">
        <v>5000</v>
      </c>
      <c r="G89" s="2">
        <v>2.4700000000000002</v>
      </c>
      <c r="H89" s="2">
        <v>12350</v>
      </c>
      <c r="I89" s="2" t="s">
        <v>34</v>
      </c>
      <c r="J89" s="2" t="s">
        <v>127</v>
      </c>
      <c r="K89" s="1">
        <v>45280</v>
      </c>
    </row>
    <row r="90" spans="1:11" x14ac:dyDescent="0.35">
      <c r="A90" t="s">
        <v>256</v>
      </c>
      <c r="B90" s="1">
        <v>45261</v>
      </c>
      <c r="C90" t="s">
        <v>253</v>
      </c>
      <c r="D90" t="s">
        <v>148</v>
      </c>
      <c r="E90" s="2">
        <v>1000</v>
      </c>
      <c r="F90" s="2">
        <v>6000</v>
      </c>
      <c r="G90" s="2">
        <v>3.52</v>
      </c>
      <c r="H90" s="2">
        <v>21120</v>
      </c>
      <c r="I90" s="2" t="s">
        <v>34</v>
      </c>
      <c r="J90" s="2" t="s">
        <v>127</v>
      </c>
      <c r="K90" s="1">
        <v>45279</v>
      </c>
    </row>
    <row r="91" spans="1:11" x14ac:dyDescent="0.35">
      <c r="A91" t="s">
        <v>257</v>
      </c>
      <c r="B91" s="1">
        <v>45261</v>
      </c>
      <c r="C91" t="s">
        <v>253</v>
      </c>
      <c r="D91" t="s">
        <v>150</v>
      </c>
      <c r="E91" s="2">
        <v>500</v>
      </c>
      <c r="F91" s="2">
        <v>4500</v>
      </c>
      <c r="G91" s="2">
        <v>7.04</v>
      </c>
      <c r="H91" s="2">
        <v>31680</v>
      </c>
      <c r="I91" s="2" t="s">
        <v>43</v>
      </c>
      <c r="J91" s="2" t="s">
        <v>118</v>
      </c>
      <c r="K91" s="1">
        <v>45282</v>
      </c>
    </row>
    <row r="92" spans="1:11" x14ac:dyDescent="0.35">
      <c r="A92" t="s">
        <v>258</v>
      </c>
      <c r="B92" s="1">
        <v>45261</v>
      </c>
      <c r="C92" t="s">
        <v>253</v>
      </c>
      <c r="D92" t="s">
        <v>116</v>
      </c>
      <c r="E92" s="2">
        <v>500</v>
      </c>
      <c r="F92" s="2">
        <v>11500</v>
      </c>
      <c r="G92" s="2">
        <v>6.96</v>
      </c>
      <c r="H92" s="2">
        <v>80040</v>
      </c>
      <c r="I92" s="2" t="s">
        <v>46</v>
      </c>
      <c r="J92" s="2" t="s">
        <v>118</v>
      </c>
      <c r="K92" s="1">
        <v>45278</v>
      </c>
    </row>
    <row r="93" spans="1:11" x14ac:dyDescent="0.35">
      <c r="A93" t="s">
        <v>259</v>
      </c>
      <c r="B93" s="1">
        <v>45261</v>
      </c>
      <c r="C93" t="s">
        <v>253</v>
      </c>
      <c r="D93" t="s">
        <v>119</v>
      </c>
      <c r="E93" s="2">
        <v>500</v>
      </c>
      <c r="F93" s="2">
        <v>11000</v>
      </c>
      <c r="G93" s="2">
        <v>10.15</v>
      </c>
      <c r="H93" s="2">
        <v>111650</v>
      </c>
      <c r="I93" s="2" t="s">
        <v>46</v>
      </c>
      <c r="J93" s="2" t="s">
        <v>118</v>
      </c>
      <c r="K93" s="1">
        <v>45282</v>
      </c>
    </row>
    <row r="94" spans="1:11" x14ac:dyDescent="0.35">
      <c r="A94" t="s">
        <v>260</v>
      </c>
      <c r="B94" s="1">
        <v>45261</v>
      </c>
      <c r="C94" t="s">
        <v>253</v>
      </c>
      <c r="D94" t="s">
        <v>121</v>
      </c>
      <c r="E94" s="2">
        <v>500</v>
      </c>
      <c r="F94" s="2">
        <v>9500</v>
      </c>
      <c r="G94" s="2">
        <v>4.5</v>
      </c>
      <c r="H94" s="2">
        <v>42750</v>
      </c>
      <c r="I94" s="2" t="s">
        <v>52</v>
      </c>
      <c r="J94" s="2" t="s">
        <v>118</v>
      </c>
      <c r="K94" s="1">
        <v>45282</v>
      </c>
    </row>
    <row r="95" spans="1:11" x14ac:dyDescent="0.35">
      <c r="A95" t="s">
        <v>261</v>
      </c>
      <c r="B95" s="1">
        <v>45261</v>
      </c>
      <c r="C95" t="s">
        <v>253</v>
      </c>
      <c r="D95" t="s">
        <v>123</v>
      </c>
      <c r="E95" s="2">
        <v>500</v>
      </c>
      <c r="F95" s="2">
        <v>17500</v>
      </c>
      <c r="G95" s="2">
        <v>5.12</v>
      </c>
      <c r="H95" s="2">
        <v>89600</v>
      </c>
      <c r="I95" s="2" t="s">
        <v>46</v>
      </c>
      <c r="J95" s="2" t="s">
        <v>118</v>
      </c>
      <c r="K95" s="1">
        <v>45284</v>
      </c>
    </row>
    <row r="96" spans="1:11" x14ac:dyDescent="0.35">
      <c r="A96" t="s">
        <v>262</v>
      </c>
      <c r="B96" s="1">
        <v>45261</v>
      </c>
      <c r="C96" t="s">
        <v>253</v>
      </c>
      <c r="D96" t="s">
        <v>125</v>
      </c>
      <c r="E96" s="2">
        <v>1000</v>
      </c>
      <c r="F96" s="2">
        <v>14000</v>
      </c>
      <c r="G96" s="2">
        <v>3.96</v>
      </c>
      <c r="H96" s="2">
        <v>55440</v>
      </c>
      <c r="I96" s="2" t="s">
        <v>34</v>
      </c>
      <c r="J96" s="2" t="s">
        <v>127</v>
      </c>
      <c r="K96" s="1">
        <v>45275</v>
      </c>
    </row>
    <row r="97" spans="1:11" x14ac:dyDescent="0.35">
      <c r="A97" t="s">
        <v>263</v>
      </c>
      <c r="B97" s="1">
        <v>45261</v>
      </c>
      <c r="C97" t="s">
        <v>253</v>
      </c>
      <c r="D97" t="s">
        <v>128</v>
      </c>
      <c r="E97" s="2">
        <v>1000</v>
      </c>
      <c r="F97" s="2">
        <v>14000</v>
      </c>
      <c r="G97" s="2">
        <v>3.5</v>
      </c>
      <c r="H97" s="2">
        <v>49000</v>
      </c>
      <c r="I97" s="2" t="s">
        <v>34</v>
      </c>
      <c r="J97" s="2" t="s">
        <v>127</v>
      </c>
      <c r="K97" s="1">
        <v>45274</v>
      </c>
    </row>
    <row r="98" spans="1:11" x14ac:dyDescent="0.35">
      <c r="A98" t="s">
        <v>264</v>
      </c>
      <c r="B98" s="1">
        <v>45261</v>
      </c>
      <c r="C98" t="s">
        <v>253</v>
      </c>
      <c r="D98" t="s">
        <v>130</v>
      </c>
      <c r="E98" s="2">
        <v>1000</v>
      </c>
      <c r="F98" s="2">
        <v>15000</v>
      </c>
      <c r="G98" s="2">
        <v>2.96</v>
      </c>
      <c r="H98" s="2">
        <v>44400</v>
      </c>
      <c r="I98" s="2" t="s">
        <v>34</v>
      </c>
      <c r="J98" s="2" t="s">
        <v>127</v>
      </c>
      <c r="K98" s="1">
        <v>45277</v>
      </c>
    </row>
    <row r="99" spans="1:11" x14ac:dyDescent="0.35">
      <c r="A99" t="s">
        <v>265</v>
      </c>
      <c r="B99" s="1">
        <v>45261</v>
      </c>
      <c r="C99" t="s">
        <v>253</v>
      </c>
      <c r="D99" t="s">
        <v>132</v>
      </c>
      <c r="E99" s="2">
        <v>1000</v>
      </c>
      <c r="F99" s="2">
        <v>10000</v>
      </c>
      <c r="G99" s="2">
        <v>4.8</v>
      </c>
      <c r="H99" s="2">
        <v>48000</v>
      </c>
      <c r="I99" s="2" t="s">
        <v>39</v>
      </c>
      <c r="J99" s="2" t="s">
        <v>127</v>
      </c>
      <c r="K99" s="1">
        <v>45280</v>
      </c>
    </row>
    <row r="100" spans="1:11" x14ac:dyDescent="0.35">
      <c r="A100" t="s">
        <v>266</v>
      </c>
      <c r="B100" s="1">
        <v>45261</v>
      </c>
      <c r="C100" t="s">
        <v>253</v>
      </c>
      <c r="D100" t="s">
        <v>134</v>
      </c>
      <c r="E100" s="2">
        <v>500</v>
      </c>
      <c r="F100" s="2">
        <v>11000</v>
      </c>
      <c r="G100" s="2">
        <v>5.94</v>
      </c>
      <c r="H100" s="2">
        <v>65340</v>
      </c>
      <c r="I100" s="2" t="s">
        <v>43</v>
      </c>
      <c r="J100" s="2" t="s">
        <v>118</v>
      </c>
      <c r="K100" s="1">
        <v>45279</v>
      </c>
    </row>
    <row r="101" spans="1:11" x14ac:dyDescent="0.35">
      <c r="A101" t="s">
        <v>267</v>
      </c>
      <c r="B101" s="1">
        <v>45261</v>
      </c>
      <c r="C101" t="s">
        <v>253</v>
      </c>
      <c r="D101" t="s">
        <v>136</v>
      </c>
      <c r="E101" s="2">
        <v>1000</v>
      </c>
      <c r="F101" s="2">
        <v>14000</v>
      </c>
      <c r="G101" s="2">
        <v>2.4700000000000002</v>
      </c>
      <c r="H101" s="2">
        <v>34580</v>
      </c>
      <c r="I101" s="2" t="s">
        <v>34</v>
      </c>
      <c r="J101" s="2" t="s">
        <v>127</v>
      </c>
      <c r="K101" s="1">
        <v>45280</v>
      </c>
    </row>
    <row r="102" spans="1:11" x14ac:dyDescent="0.35">
      <c r="A102" t="s">
        <v>268</v>
      </c>
      <c r="B102" s="1">
        <v>45261</v>
      </c>
      <c r="C102" t="s">
        <v>253</v>
      </c>
      <c r="D102" t="s">
        <v>138</v>
      </c>
      <c r="E102" s="2">
        <v>1000</v>
      </c>
      <c r="F102" s="2">
        <v>11000</v>
      </c>
      <c r="G102" s="2">
        <v>1.8</v>
      </c>
      <c r="H102" s="2">
        <v>19800</v>
      </c>
      <c r="I102" s="2" t="s">
        <v>34</v>
      </c>
      <c r="J102" s="2" t="s">
        <v>127</v>
      </c>
      <c r="K102" s="1">
        <v>45274</v>
      </c>
    </row>
    <row r="103" spans="1:11" x14ac:dyDescent="0.35">
      <c r="A103" t="s">
        <v>269</v>
      </c>
      <c r="B103" s="1">
        <v>45261</v>
      </c>
      <c r="C103" t="s">
        <v>253</v>
      </c>
      <c r="D103" t="s">
        <v>140</v>
      </c>
      <c r="E103" s="2">
        <v>1000</v>
      </c>
      <c r="F103" s="2">
        <v>12000</v>
      </c>
      <c r="G103" s="2">
        <v>2.85</v>
      </c>
      <c r="H103" s="2">
        <v>34200</v>
      </c>
      <c r="I103" s="2" t="s">
        <v>34</v>
      </c>
      <c r="J103" s="2" t="s">
        <v>127</v>
      </c>
      <c r="K103" s="1">
        <v>45274</v>
      </c>
    </row>
    <row r="104" spans="1:11" x14ac:dyDescent="0.35">
      <c r="A104" t="s">
        <v>270</v>
      </c>
      <c r="B104" s="1">
        <v>45292</v>
      </c>
      <c r="C104" t="s">
        <v>271</v>
      </c>
      <c r="D104" t="s">
        <v>142</v>
      </c>
      <c r="E104" s="2">
        <v>500</v>
      </c>
      <c r="F104" s="2">
        <v>6500</v>
      </c>
      <c r="G104" s="2">
        <v>10.88</v>
      </c>
      <c r="H104" s="2">
        <v>70720</v>
      </c>
      <c r="I104" s="2" t="s">
        <v>46</v>
      </c>
      <c r="J104" s="2" t="s">
        <v>118</v>
      </c>
      <c r="K104" s="1">
        <v>45307</v>
      </c>
    </row>
    <row r="105" spans="1:11" x14ac:dyDescent="0.35">
      <c r="A105" t="s">
        <v>272</v>
      </c>
      <c r="B105" s="1">
        <v>45292</v>
      </c>
      <c r="C105" t="s">
        <v>271</v>
      </c>
      <c r="D105" t="s">
        <v>144</v>
      </c>
      <c r="E105" s="2">
        <v>1000</v>
      </c>
      <c r="F105" s="2">
        <v>6000</v>
      </c>
      <c r="G105" s="2">
        <v>5.04</v>
      </c>
      <c r="H105" s="2">
        <v>30240</v>
      </c>
      <c r="I105" s="2" t="s">
        <v>39</v>
      </c>
      <c r="J105" s="2" t="s">
        <v>127</v>
      </c>
      <c r="K105" s="1">
        <v>45309</v>
      </c>
    </row>
    <row r="106" spans="1:11" x14ac:dyDescent="0.35">
      <c r="A106" t="s">
        <v>273</v>
      </c>
      <c r="B106" s="1">
        <v>45292</v>
      </c>
      <c r="C106" t="s">
        <v>271</v>
      </c>
      <c r="D106" t="s">
        <v>146</v>
      </c>
      <c r="E106" s="2">
        <v>1000</v>
      </c>
      <c r="F106" s="2">
        <v>5000</v>
      </c>
      <c r="G106" s="2">
        <v>2.4700000000000002</v>
      </c>
      <c r="H106" s="2">
        <v>12350</v>
      </c>
      <c r="I106" s="2" t="s">
        <v>34</v>
      </c>
      <c r="J106" s="2" t="s">
        <v>127</v>
      </c>
      <c r="K106" s="1">
        <v>45311</v>
      </c>
    </row>
    <row r="107" spans="1:11" x14ac:dyDescent="0.35">
      <c r="A107" t="s">
        <v>274</v>
      </c>
      <c r="B107" s="1">
        <v>45292</v>
      </c>
      <c r="C107" t="s">
        <v>271</v>
      </c>
      <c r="D107" t="s">
        <v>148</v>
      </c>
      <c r="E107" s="2">
        <v>1000</v>
      </c>
      <c r="F107" s="2">
        <v>6000</v>
      </c>
      <c r="G107" s="2">
        <v>3.52</v>
      </c>
      <c r="H107" s="2">
        <v>21120</v>
      </c>
      <c r="I107" s="2" t="s">
        <v>34</v>
      </c>
      <c r="J107" s="2" t="s">
        <v>127</v>
      </c>
      <c r="K107" s="1">
        <v>45308</v>
      </c>
    </row>
    <row r="108" spans="1:11" x14ac:dyDescent="0.35">
      <c r="A108" t="s">
        <v>275</v>
      </c>
      <c r="B108" s="1">
        <v>45292</v>
      </c>
      <c r="C108" t="s">
        <v>271</v>
      </c>
      <c r="D108" t="s">
        <v>150</v>
      </c>
      <c r="E108" s="2">
        <v>500</v>
      </c>
      <c r="F108" s="2">
        <v>4500</v>
      </c>
      <c r="G108" s="2">
        <v>7.04</v>
      </c>
      <c r="H108" s="2">
        <v>31680</v>
      </c>
      <c r="I108" s="2" t="s">
        <v>43</v>
      </c>
      <c r="J108" s="2" t="s">
        <v>118</v>
      </c>
      <c r="K108" s="1">
        <v>45314</v>
      </c>
    </row>
    <row r="109" spans="1:11" x14ac:dyDescent="0.35">
      <c r="A109" t="s">
        <v>276</v>
      </c>
      <c r="B109" s="1">
        <v>45292</v>
      </c>
      <c r="C109" t="s">
        <v>271</v>
      </c>
      <c r="D109" t="s">
        <v>116</v>
      </c>
      <c r="E109" s="2">
        <v>500</v>
      </c>
      <c r="F109" s="2">
        <v>11500</v>
      </c>
      <c r="G109" s="2">
        <v>6.96</v>
      </c>
      <c r="H109" s="2">
        <v>80040</v>
      </c>
      <c r="I109" s="2" t="s">
        <v>46</v>
      </c>
      <c r="J109" s="2" t="s">
        <v>118</v>
      </c>
      <c r="K109" s="1">
        <v>45309</v>
      </c>
    </row>
    <row r="110" spans="1:11" x14ac:dyDescent="0.35">
      <c r="A110" t="s">
        <v>277</v>
      </c>
      <c r="B110" s="1">
        <v>45292</v>
      </c>
      <c r="C110" t="s">
        <v>271</v>
      </c>
      <c r="D110" t="s">
        <v>119</v>
      </c>
      <c r="E110" s="2">
        <v>500</v>
      </c>
      <c r="F110" s="2">
        <v>11000</v>
      </c>
      <c r="G110" s="2">
        <v>10.15</v>
      </c>
      <c r="H110" s="2">
        <v>111650</v>
      </c>
      <c r="I110" s="2" t="s">
        <v>46</v>
      </c>
      <c r="J110" s="2" t="s">
        <v>118</v>
      </c>
      <c r="K110" s="1">
        <v>45314</v>
      </c>
    </row>
    <row r="111" spans="1:11" x14ac:dyDescent="0.35">
      <c r="A111" t="s">
        <v>278</v>
      </c>
      <c r="B111" s="1">
        <v>45292</v>
      </c>
      <c r="C111" t="s">
        <v>271</v>
      </c>
      <c r="D111" t="s">
        <v>121</v>
      </c>
      <c r="E111" s="2">
        <v>500</v>
      </c>
      <c r="F111" s="2">
        <v>9500</v>
      </c>
      <c r="G111" s="2">
        <v>4.5</v>
      </c>
      <c r="H111" s="2">
        <v>42750</v>
      </c>
      <c r="I111" s="2" t="s">
        <v>52</v>
      </c>
      <c r="J111" s="2" t="s">
        <v>118</v>
      </c>
      <c r="K111" s="1">
        <v>45313</v>
      </c>
    </row>
    <row r="112" spans="1:11" x14ac:dyDescent="0.35">
      <c r="A112" t="s">
        <v>279</v>
      </c>
      <c r="B112" s="1">
        <v>45292</v>
      </c>
      <c r="C112" t="s">
        <v>271</v>
      </c>
      <c r="D112" t="s">
        <v>123</v>
      </c>
      <c r="E112" s="2">
        <v>500</v>
      </c>
      <c r="F112" s="2">
        <v>17500</v>
      </c>
      <c r="G112" s="2">
        <v>5.12</v>
      </c>
      <c r="H112" s="2">
        <v>89600</v>
      </c>
      <c r="I112" s="2" t="s">
        <v>46</v>
      </c>
      <c r="J112" s="2" t="s">
        <v>118</v>
      </c>
      <c r="K112" s="1">
        <v>45313</v>
      </c>
    </row>
    <row r="113" spans="1:11" x14ac:dyDescent="0.35">
      <c r="A113" t="s">
        <v>280</v>
      </c>
      <c r="B113" s="1">
        <v>45292</v>
      </c>
      <c r="C113" t="s">
        <v>271</v>
      </c>
      <c r="D113" t="s">
        <v>125</v>
      </c>
      <c r="E113" s="2">
        <v>1000</v>
      </c>
      <c r="F113" s="2">
        <v>14000</v>
      </c>
      <c r="G113" s="2">
        <v>3.96</v>
      </c>
      <c r="H113" s="2">
        <v>55440</v>
      </c>
      <c r="I113" s="2" t="s">
        <v>34</v>
      </c>
      <c r="J113" s="2" t="s">
        <v>127</v>
      </c>
      <c r="K113" s="1">
        <v>45308</v>
      </c>
    </row>
    <row r="114" spans="1:11" x14ac:dyDescent="0.35">
      <c r="A114" t="s">
        <v>281</v>
      </c>
      <c r="B114" s="1">
        <v>45292</v>
      </c>
      <c r="C114" t="s">
        <v>271</v>
      </c>
      <c r="D114" t="s">
        <v>128</v>
      </c>
      <c r="E114" s="2">
        <v>1000</v>
      </c>
      <c r="F114" s="2">
        <v>14000</v>
      </c>
      <c r="G114" s="2">
        <v>3.5</v>
      </c>
      <c r="H114" s="2">
        <v>49000</v>
      </c>
      <c r="I114" s="2" t="s">
        <v>34</v>
      </c>
      <c r="J114" s="2" t="s">
        <v>127</v>
      </c>
      <c r="K114" s="1">
        <v>45303</v>
      </c>
    </row>
    <row r="115" spans="1:11" x14ac:dyDescent="0.35">
      <c r="A115" t="s">
        <v>282</v>
      </c>
      <c r="B115" s="1">
        <v>45292</v>
      </c>
      <c r="C115" t="s">
        <v>271</v>
      </c>
      <c r="D115" t="s">
        <v>130</v>
      </c>
      <c r="E115" s="2">
        <v>1000</v>
      </c>
      <c r="F115" s="2">
        <v>15000</v>
      </c>
      <c r="G115" s="2">
        <v>2.96</v>
      </c>
      <c r="H115" s="2">
        <v>44400</v>
      </c>
      <c r="I115" s="2" t="s">
        <v>34</v>
      </c>
      <c r="J115" s="2" t="s">
        <v>127</v>
      </c>
      <c r="K115" s="1">
        <v>45308</v>
      </c>
    </row>
    <row r="116" spans="1:11" x14ac:dyDescent="0.35">
      <c r="A116" t="s">
        <v>283</v>
      </c>
      <c r="B116" s="1">
        <v>45292</v>
      </c>
      <c r="C116" t="s">
        <v>271</v>
      </c>
      <c r="D116" t="s">
        <v>132</v>
      </c>
      <c r="E116" s="2">
        <v>1000</v>
      </c>
      <c r="F116" s="2">
        <v>10000</v>
      </c>
      <c r="G116" s="2">
        <v>4.8</v>
      </c>
      <c r="H116" s="2">
        <v>48000</v>
      </c>
      <c r="I116" s="2" t="s">
        <v>39</v>
      </c>
      <c r="J116" s="2" t="s">
        <v>127</v>
      </c>
      <c r="K116" s="1">
        <v>45311</v>
      </c>
    </row>
    <row r="117" spans="1:11" x14ac:dyDescent="0.35">
      <c r="A117" t="s">
        <v>284</v>
      </c>
      <c r="B117" s="1">
        <v>45292</v>
      </c>
      <c r="C117" t="s">
        <v>271</v>
      </c>
      <c r="D117" t="s">
        <v>134</v>
      </c>
      <c r="E117" s="2">
        <v>500</v>
      </c>
      <c r="F117" s="2">
        <v>11000</v>
      </c>
      <c r="G117" s="2">
        <v>5.94</v>
      </c>
      <c r="H117" s="2">
        <v>65340</v>
      </c>
      <c r="I117" s="2" t="s">
        <v>43</v>
      </c>
      <c r="J117" s="2" t="s">
        <v>118</v>
      </c>
      <c r="K117" s="1">
        <v>45310</v>
      </c>
    </row>
    <row r="118" spans="1:11" x14ac:dyDescent="0.35">
      <c r="A118" t="s">
        <v>285</v>
      </c>
      <c r="B118" s="1">
        <v>45292</v>
      </c>
      <c r="C118" t="s">
        <v>271</v>
      </c>
      <c r="D118" t="s">
        <v>136</v>
      </c>
      <c r="E118" s="2">
        <v>1000</v>
      </c>
      <c r="F118" s="2">
        <v>14000</v>
      </c>
      <c r="G118" s="2">
        <v>2.4700000000000002</v>
      </c>
      <c r="H118" s="2">
        <v>34580</v>
      </c>
      <c r="I118" s="2" t="s">
        <v>34</v>
      </c>
      <c r="J118" s="2" t="s">
        <v>127</v>
      </c>
      <c r="K118" s="1">
        <v>45312</v>
      </c>
    </row>
    <row r="119" spans="1:11" x14ac:dyDescent="0.35">
      <c r="A119" t="s">
        <v>286</v>
      </c>
      <c r="B119" s="1">
        <v>45292</v>
      </c>
      <c r="C119" t="s">
        <v>271</v>
      </c>
      <c r="D119" t="s">
        <v>138</v>
      </c>
      <c r="E119" s="2">
        <v>1000</v>
      </c>
      <c r="F119" s="2">
        <v>11000</v>
      </c>
      <c r="G119" s="2">
        <v>1.8</v>
      </c>
      <c r="H119" s="2">
        <v>19800</v>
      </c>
      <c r="I119" s="2" t="s">
        <v>34</v>
      </c>
      <c r="J119" s="2" t="s">
        <v>127</v>
      </c>
      <c r="K119" s="1">
        <v>45307</v>
      </c>
    </row>
    <row r="120" spans="1:11" x14ac:dyDescent="0.35">
      <c r="A120" t="s">
        <v>287</v>
      </c>
      <c r="B120" s="1">
        <v>45292</v>
      </c>
      <c r="C120" t="s">
        <v>271</v>
      </c>
      <c r="D120" t="s">
        <v>140</v>
      </c>
      <c r="E120" s="2">
        <v>1000</v>
      </c>
      <c r="F120" s="2">
        <v>12000</v>
      </c>
      <c r="G120" s="2">
        <v>2.85</v>
      </c>
      <c r="H120" s="2">
        <v>34200</v>
      </c>
      <c r="I120" s="2" t="s">
        <v>34</v>
      </c>
      <c r="J120" s="2" t="s">
        <v>127</v>
      </c>
      <c r="K120" s="1">
        <v>45304</v>
      </c>
    </row>
    <row r="121" spans="1:11" x14ac:dyDescent="0.35">
      <c r="A121" t="s">
        <v>288</v>
      </c>
      <c r="B121" s="1">
        <v>45323</v>
      </c>
      <c r="C121" t="s">
        <v>289</v>
      </c>
      <c r="D121" t="s">
        <v>142</v>
      </c>
      <c r="E121" s="2">
        <v>500</v>
      </c>
      <c r="F121" s="2">
        <v>6500</v>
      </c>
      <c r="G121" s="2">
        <v>10.88</v>
      </c>
      <c r="H121" s="2">
        <v>70720</v>
      </c>
      <c r="I121" s="2" t="s">
        <v>46</v>
      </c>
      <c r="J121" s="2" t="s">
        <v>118</v>
      </c>
      <c r="K121" s="1">
        <v>45337</v>
      </c>
    </row>
    <row r="122" spans="1:11" x14ac:dyDescent="0.35">
      <c r="A122" t="s">
        <v>290</v>
      </c>
      <c r="B122" s="1">
        <v>45323</v>
      </c>
      <c r="C122" t="s">
        <v>289</v>
      </c>
      <c r="D122" t="s">
        <v>144</v>
      </c>
      <c r="E122" s="2">
        <v>1000</v>
      </c>
      <c r="F122" s="2">
        <v>6000</v>
      </c>
      <c r="G122" s="2">
        <v>5.04</v>
      </c>
      <c r="H122" s="2">
        <v>30240</v>
      </c>
      <c r="I122" s="2" t="s">
        <v>39</v>
      </c>
      <c r="J122" s="2" t="s">
        <v>127</v>
      </c>
      <c r="K122" s="1">
        <v>45341</v>
      </c>
    </row>
    <row r="123" spans="1:11" x14ac:dyDescent="0.35">
      <c r="A123" t="s">
        <v>291</v>
      </c>
      <c r="B123" s="1">
        <v>45323</v>
      </c>
      <c r="C123" t="s">
        <v>289</v>
      </c>
      <c r="D123" t="s">
        <v>146</v>
      </c>
      <c r="E123" s="2">
        <v>1000</v>
      </c>
      <c r="F123" s="2">
        <v>5000</v>
      </c>
      <c r="G123" s="2">
        <v>2.4700000000000002</v>
      </c>
      <c r="H123" s="2">
        <v>12350</v>
      </c>
      <c r="I123" s="2" t="s">
        <v>34</v>
      </c>
      <c r="J123" s="2" t="s">
        <v>127</v>
      </c>
      <c r="K123" s="1">
        <v>45341</v>
      </c>
    </row>
    <row r="124" spans="1:11" x14ac:dyDescent="0.35">
      <c r="A124" t="s">
        <v>292</v>
      </c>
      <c r="B124" s="1">
        <v>45323</v>
      </c>
      <c r="C124" t="s">
        <v>289</v>
      </c>
      <c r="D124" t="s">
        <v>148</v>
      </c>
      <c r="E124" s="2">
        <v>1000</v>
      </c>
      <c r="F124" s="2">
        <v>6000</v>
      </c>
      <c r="G124" s="2">
        <v>3.52</v>
      </c>
      <c r="H124" s="2">
        <v>21120</v>
      </c>
      <c r="I124" s="2" t="s">
        <v>34</v>
      </c>
      <c r="J124" s="2" t="s">
        <v>127</v>
      </c>
      <c r="K124" s="1">
        <v>45341</v>
      </c>
    </row>
    <row r="125" spans="1:11" x14ac:dyDescent="0.35">
      <c r="A125" t="s">
        <v>293</v>
      </c>
      <c r="B125" s="1">
        <v>45323</v>
      </c>
      <c r="C125" t="s">
        <v>289</v>
      </c>
      <c r="D125" t="s">
        <v>150</v>
      </c>
      <c r="E125" s="2">
        <v>500</v>
      </c>
      <c r="F125" s="2">
        <v>4500</v>
      </c>
      <c r="G125" s="2">
        <v>7.04</v>
      </c>
      <c r="H125" s="2">
        <v>31680</v>
      </c>
      <c r="I125" s="2" t="s">
        <v>43</v>
      </c>
      <c r="J125" s="2" t="s">
        <v>118</v>
      </c>
      <c r="K125" s="1">
        <v>45345</v>
      </c>
    </row>
    <row r="126" spans="1:11" x14ac:dyDescent="0.35">
      <c r="A126" t="s">
        <v>294</v>
      </c>
      <c r="B126" s="1">
        <v>45323</v>
      </c>
      <c r="C126" t="s">
        <v>289</v>
      </c>
      <c r="D126" t="s">
        <v>116</v>
      </c>
      <c r="E126" s="2">
        <v>500</v>
      </c>
      <c r="F126" s="2">
        <v>11500</v>
      </c>
      <c r="G126" s="2">
        <v>6.96</v>
      </c>
      <c r="H126" s="2">
        <v>80040</v>
      </c>
      <c r="I126" s="2" t="s">
        <v>46</v>
      </c>
      <c r="J126" s="2" t="s">
        <v>118</v>
      </c>
      <c r="K126" s="1">
        <v>45338</v>
      </c>
    </row>
    <row r="127" spans="1:11" x14ac:dyDescent="0.35">
      <c r="A127" t="s">
        <v>295</v>
      </c>
      <c r="B127" s="1">
        <v>45323</v>
      </c>
      <c r="C127" t="s">
        <v>289</v>
      </c>
      <c r="D127" t="s">
        <v>119</v>
      </c>
      <c r="E127" s="2">
        <v>500</v>
      </c>
      <c r="F127" s="2">
        <v>11000</v>
      </c>
      <c r="G127" s="2">
        <v>10.15</v>
      </c>
      <c r="H127" s="2">
        <v>111650</v>
      </c>
      <c r="I127" s="2" t="s">
        <v>46</v>
      </c>
      <c r="J127" s="2" t="s">
        <v>118</v>
      </c>
      <c r="K127" s="1">
        <v>45346</v>
      </c>
    </row>
    <row r="128" spans="1:11" x14ac:dyDescent="0.35">
      <c r="A128" t="s">
        <v>296</v>
      </c>
      <c r="B128" s="1">
        <v>45323</v>
      </c>
      <c r="C128" t="s">
        <v>289</v>
      </c>
      <c r="D128" t="s">
        <v>121</v>
      </c>
      <c r="E128" s="2">
        <v>500</v>
      </c>
      <c r="F128" s="2">
        <v>9500</v>
      </c>
      <c r="G128" s="2">
        <v>4.5</v>
      </c>
      <c r="H128" s="2">
        <v>42750</v>
      </c>
      <c r="I128" s="2" t="s">
        <v>52</v>
      </c>
      <c r="J128" s="2" t="s">
        <v>118</v>
      </c>
      <c r="K128" s="1">
        <v>45343</v>
      </c>
    </row>
    <row r="129" spans="1:11" x14ac:dyDescent="0.35">
      <c r="A129" t="s">
        <v>297</v>
      </c>
      <c r="B129" s="1">
        <v>45323</v>
      </c>
      <c r="C129" t="s">
        <v>289</v>
      </c>
      <c r="D129" t="s">
        <v>123</v>
      </c>
      <c r="E129" s="2">
        <v>500</v>
      </c>
      <c r="F129" s="2">
        <v>17500</v>
      </c>
      <c r="G129" s="2">
        <v>5.12</v>
      </c>
      <c r="H129" s="2">
        <v>89600</v>
      </c>
      <c r="I129" s="2" t="s">
        <v>46</v>
      </c>
      <c r="J129" s="2" t="s">
        <v>118</v>
      </c>
      <c r="K129" s="1">
        <v>45345</v>
      </c>
    </row>
    <row r="130" spans="1:11" x14ac:dyDescent="0.35">
      <c r="A130" t="s">
        <v>298</v>
      </c>
      <c r="B130" s="1">
        <v>45323</v>
      </c>
      <c r="C130" t="s">
        <v>289</v>
      </c>
      <c r="D130" t="s">
        <v>125</v>
      </c>
      <c r="E130" s="2">
        <v>1000</v>
      </c>
      <c r="F130" s="2">
        <v>14000</v>
      </c>
      <c r="G130" s="2">
        <v>3.96</v>
      </c>
      <c r="H130" s="2">
        <v>55440</v>
      </c>
      <c r="I130" s="2" t="s">
        <v>34</v>
      </c>
      <c r="J130" s="2" t="s">
        <v>127</v>
      </c>
      <c r="K130" s="1">
        <v>45337</v>
      </c>
    </row>
    <row r="131" spans="1:11" x14ac:dyDescent="0.35">
      <c r="A131" t="s">
        <v>299</v>
      </c>
      <c r="B131" s="1">
        <v>45323</v>
      </c>
      <c r="C131" t="s">
        <v>289</v>
      </c>
      <c r="D131" t="s">
        <v>128</v>
      </c>
      <c r="E131" s="2">
        <v>1000</v>
      </c>
      <c r="F131" s="2">
        <v>14000</v>
      </c>
      <c r="G131" s="2">
        <v>3.5</v>
      </c>
      <c r="H131" s="2">
        <v>49000</v>
      </c>
      <c r="I131" s="2" t="s">
        <v>34</v>
      </c>
      <c r="J131" s="2" t="s">
        <v>127</v>
      </c>
      <c r="K131" s="1">
        <v>45334</v>
      </c>
    </row>
    <row r="132" spans="1:11" x14ac:dyDescent="0.35">
      <c r="A132" t="s">
        <v>300</v>
      </c>
      <c r="B132" s="1">
        <v>45323</v>
      </c>
      <c r="C132" t="s">
        <v>289</v>
      </c>
      <c r="D132" t="s">
        <v>130</v>
      </c>
      <c r="E132" s="2">
        <v>1000</v>
      </c>
      <c r="F132" s="2">
        <v>15000</v>
      </c>
      <c r="G132" s="2">
        <v>2.96</v>
      </c>
      <c r="H132" s="2">
        <v>44400</v>
      </c>
      <c r="I132" s="2" t="s">
        <v>34</v>
      </c>
      <c r="J132" s="2" t="s">
        <v>127</v>
      </c>
      <c r="K132" s="1">
        <v>45338</v>
      </c>
    </row>
    <row r="133" spans="1:11" x14ac:dyDescent="0.35">
      <c r="A133" t="s">
        <v>301</v>
      </c>
      <c r="B133" s="1">
        <v>45323</v>
      </c>
      <c r="C133" t="s">
        <v>289</v>
      </c>
      <c r="D133" t="s">
        <v>132</v>
      </c>
      <c r="E133" s="2">
        <v>1000</v>
      </c>
      <c r="F133" s="2">
        <v>10000</v>
      </c>
      <c r="G133" s="2">
        <v>4.8</v>
      </c>
      <c r="H133" s="2">
        <v>48000</v>
      </c>
      <c r="I133" s="2" t="s">
        <v>39</v>
      </c>
      <c r="J133" s="2" t="s">
        <v>127</v>
      </c>
      <c r="K133" s="1">
        <v>45342</v>
      </c>
    </row>
    <row r="134" spans="1:11" x14ac:dyDescent="0.35">
      <c r="A134" t="s">
        <v>302</v>
      </c>
      <c r="B134" s="1">
        <v>45323</v>
      </c>
      <c r="C134" t="s">
        <v>289</v>
      </c>
      <c r="D134" t="s">
        <v>134</v>
      </c>
      <c r="E134" s="2">
        <v>500</v>
      </c>
      <c r="F134" s="2">
        <v>11000</v>
      </c>
      <c r="G134" s="2">
        <v>5.94</v>
      </c>
      <c r="H134" s="2">
        <v>65340</v>
      </c>
      <c r="I134" s="2" t="s">
        <v>43</v>
      </c>
      <c r="J134" s="2" t="s">
        <v>118</v>
      </c>
      <c r="K134" s="1">
        <v>45339</v>
      </c>
    </row>
    <row r="135" spans="1:11" x14ac:dyDescent="0.35">
      <c r="A135" t="s">
        <v>303</v>
      </c>
      <c r="B135" s="1">
        <v>45323</v>
      </c>
      <c r="C135" t="s">
        <v>289</v>
      </c>
      <c r="D135" t="s">
        <v>136</v>
      </c>
      <c r="E135" s="2">
        <v>1000</v>
      </c>
      <c r="F135" s="2">
        <v>14000</v>
      </c>
      <c r="G135" s="2">
        <v>2.4700000000000002</v>
      </c>
      <c r="H135" s="2">
        <v>34580</v>
      </c>
      <c r="I135" s="2" t="s">
        <v>34</v>
      </c>
      <c r="J135" s="2" t="s">
        <v>127</v>
      </c>
      <c r="K135" s="1">
        <v>45341</v>
      </c>
    </row>
    <row r="136" spans="1:11" x14ac:dyDescent="0.35">
      <c r="A136" t="s">
        <v>304</v>
      </c>
      <c r="B136" s="1">
        <v>45323</v>
      </c>
      <c r="C136" t="s">
        <v>289</v>
      </c>
      <c r="D136" t="s">
        <v>138</v>
      </c>
      <c r="E136" s="2">
        <v>1000</v>
      </c>
      <c r="F136" s="2">
        <v>11000</v>
      </c>
      <c r="G136" s="2">
        <v>1.8</v>
      </c>
      <c r="H136" s="2">
        <v>19800</v>
      </c>
      <c r="I136" s="2" t="s">
        <v>34</v>
      </c>
      <c r="J136" s="2" t="s">
        <v>127</v>
      </c>
      <c r="K136" s="1">
        <v>45336</v>
      </c>
    </row>
    <row r="137" spans="1:11" x14ac:dyDescent="0.35">
      <c r="A137" t="s">
        <v>305</v>
      </c>
      <c r="B137" s="1">
        <v>45323</v>
      </c>
      <c r="C137" t="s">
        <v>289</v>
      </c>
      <c r="D137" t="s">
        <v>140</v>
      </c>
      <c r="E137" s="2">
        <v>1000</v>
      </c>
      <c r="F137" s="2">
        <v>12000</v>
      </c>
      <c r="G137" s="2">
        <v>2.85</v>
      </c>
      <c r="H137" s="2">
        <v>34200</v>
      </c>
      <c r="I137" s="2" t="s">
        <v>34</v>
      </c>
      <c r="J137" s="2" t="s">
        <v>127</v>
      </c>
      <c r="K137" s="1">
        <v>45337</v>
      </c>
    </row>
    <row r="138" spans="1:11" x14ac:dyDescent="0.35">
      <c r="A138" t="s">
        <v>306</v>
      </c>
      <c r="B138" s="1">
        <v>45352</v>
      </c>
      <c r="C138" t="s">
        <v>307</v>
      </c>
      <c r="D138" t="s">
        <v>142</v>
      </c>
      <c r="E138" s="2">
        <v>500</v>
      </c>
      <c r="F138" s="2">
        <v>6500</v>
      </c>
      <c r="G138" s="2">
        <v>10.88</v>
      </c>
      <c r="H138" s="2">
        <v>70720</v>
      </c>
      <c r="I138" s="2" t="s">
        <v>46</v>
      </c>
      <c r="J138" s="2" t="s">
        <v>118</v>
      </c>
      <c r="K138" s="1">
        <v>45366</v>
      </c>
    </row>
    <row r="139" spans="1:11" x14ac:dyDescent="0.35">
      <c r="A139" t="s">
        <v>308</v>
      </c>
      <c r="B139" s="1">
        <v>45352</v>
      </c>
      <c r="C139" t="s">
        <v>307</v>
      </c>
      <c r="D139" t="s">
        <v>144</v>
      </c>
      <c r="E139" s="2">
        <v>1000</v>
      </c>
      <c r="F139" s="2">
        <v>6000</v>
      </c>
      <c r="G139" s="2">
        <v>5.04</v>
      </c>
      <c r="H139" s="2">
        <v>30240</v>
      </c>
      <c r="I139" s="2" t="s">
        <v>39</v>
      </c>
      <c r="J139" s="2" t="s">
        <v>127</v>
      </c>
      <c r="K139" s="1">
        <v>45369</v>
      </c>
    </row>
    <row r="140" spans="1:11" x14ac:dyDescent="0.35">
      <c r="A140" t="s">
        <v>309</v>
      </c>
      <c r="B140" s="1">
        <v>45352</v>
      </c>
      <c r="C140" t="s">
        <v>307</v>
      </c>
      <c r="D140" t="s">
        <v>146</v>
      </c>
      <c r="E140" s="2">
        <v>1000</v>
      </c>
      <c r="F140" s="2">
        <v>5000</v>
      </c>
      <c r="G140" s="2">
        <v>2.4700000000000002</v>
      </c>
      <c r="H140" s="2">
        <v>12350</v>
      </c>
      <c r="I140" s="2" t="s">
        <v>34</v>
      </c>
      <c r="J140" s="2" t="s">
        <v>127</v>
      </c>
      <c r="K140" s="1">
        <v>45372</v>
      </c>
    </row>
    <row r="141" spans="1:11" x14ac:dyDescent="0.35">
      <c r="A141" t="s">
        <v>310</v>
      </c>
      <c r="B141" s="1">
        <v>45352</v>
      </c>
      <c r="C141" t="s">
        <v>307</v>
      </c>
      <c r="D141" t="s">
        <v>148</v>
      </c>
      <c r="E141" s="2">
        <v>1000</v>
      </c>
      <c r="F141" s="2">
        <v>6000</v>
      </c>
      <c r="G141" s="2">
        <v>3.52</v>
      </c>
      <c r="H141" s="2">
        <v>21120</v>
      </c>
      <c r="I141" s="2" t="s">
        <v>34</v>
      </c>
      <c r="J141" s="2" t="s">
        <v>127</v>
      </c>
      <c r="K141" s="1">
        <v>45369</v>
      </c>
    </row>
    <row r="142" spans="1:11" x14ac:dyDescent="0.35">
      <c r="A142" t="s">
        <v>311</v>
      </c>
      <c r="B142" s="1">
        <v>45352</v>
      </c>
      <c r="C142" t="s">
        <v>307</v>
      </c>
      <c r="D142" t="s">
        <v>150</v>
      </c>
      <c r="E142" s="2">
        <v>500</v>
      </c>
      <c r="F142" s="2">
        <v>4500</v>
      </c>
      <c r="G142" s="2">
        <v>7.04</v>
      </c>
      <c r="H142" s="2">
        <v>31680</v>
      </c>
      <c r="I142" s="2" t="s">
        <v>43</v>
      </c>
      <c r="J142" s="2" t="s">
        <v>118</v>
      </c>
      <c r="K142" s="1">
        <v>45372</v>
      </c>
    </row>
    <row r="143" spans="1:11" x14ac:dyDescent="0.35">
      <c r="A143" t="s">
        <v>312</v>
      </c>
      <c r="B143" s="1">
        <v>45352</v>
      </c>
      <c r="C143" t="s">
        <v>307</v>
      </c>
      <c r="D143" t="s">
        <v>116</v>
      </c>
      <c r="E143" s="2">
        <v>500</v>
      </c>
      <c r="F143" s="2">
        <v>11500</v>
      </c>
      <c r="G143" s="2">
        <v>6.96</v>
      </c>
      <c r="H143" s="2">
        <v>80040</v>
      </c>
      <c r="I143" s="2" t="s">
        <v>46</v>
      </c>
      <c r="J143" s="2" t="s">
        <v>118</v>
      </c>
      <c r="K143" s="1">
        <v>45369</v>
      </c>
    </row>
    <row r="144" spans="1:11" x14ac:dyDescent="0.35">
      <c r="A144" t="s">
        <v>313</v>
      </c>
      <c r="B144" s="1">
        <v>45352</v>
      </c>
      <c r="C144" t="s">
        <v>307</v>
      </c>
      <c r="D144" t="s">
        <v>119</v>
      </c>
      <c r="E144" s="2">
        <v>500</v>
      </c>
      <c r="F144" s="2">
        <v>11000</v>
      </c>
      <c r="G144" s="2">
        <v>10.15</v>
      </c>
      <c r="H144" s="2">
        <v>111650</v>
      </c>
      <c r="I144" s="2" t="s">
        <v>46</v>
      </c>
      <c r="J144" s="2" t="s">
        <v>118</v>
      </c>
      <c r="K144" s="1">
        <v>45373</v>
      </c>
    </row>
    <row r="145" spans="1:11" x14ac:dyDescent="0.35">
      <c r="A145" t="s">
        <v>314</v>
      </c>
      <c r="B145" s="1">
        <v>45352</v>
      </c>
      <c r="C145" t="s">
        <v>307</v>
      </c>
      <c r="D145" t="s">
        <v>121</v>
      </c>
      <c r="E145" s="2">
        <v>500</v>
      </c>
      <c r="F145" s="2">
        <v>9500</v>
      </c>
      <c r="G145" s="2">
        <v>4.5</v>
      </c>
      <c r="H145" s="2">
        <v>42750</v>
      </c>
      <c r="I145" s="2" t="s">
        <v>52</v>
      </c>
      <c r="J145" s="2" t="s">
        <v>118</v>
      </c>
      <c r="K145" s="1">
        <v>45371</v>
      </c>
    </row>
    <row r="146" spans="1:11" x14ac:dyDescent="0.35">
      <c r="A146" t="s">
        <v>315</v>
      </c>
      <c r="B146" s="1">
        <v>45352</v>
      </c>
      <c r="C146" t="s">
        <v>307</v>
      </c>
      <c r="D146" t="s">
        <v>123</v>
      </c>
      <c r="E146" s="2">
        <v>500</v>
      </c>
      <c r="F146" s="2">
        <v>17500</v>
      </c>
      <c r="G146" s="2">
        <v>5.12</v>
      </c>
      <c r="H146" s="2">
        <v>89600</v>
      </c>
      <c r="I146" s="2" t="s">
        <v>46</v>
      </c>
      <c r="J146" s="2" t="s">
        <v>118</v>
      </c>
      <c r="K146" s="1">
        <v>45375</v>
      </c>
    </row>
    <row r="147" spans="1:11" x14ac:dyDescent="0.35">
      <c r="A147" t="s">
        <v>316</v>
      </c>
      <c r="B147" s="1">
        <v>45352</v>
      </c>
      <c r="C147" t="s">
        <v>307</v>
      </c>
      <c r="D147" t="s">
        <v>125</v>
      </c>
      <c r="E147" s="2">
        <v>1000</v>
      </c>
      <c r="F147" s="2">
        <v>14000</v>
      </c>
      <c r="G147" s="2">
        <v>3.96</v>
      </c>
      <c r="H147" s="2">
        <v>55440</v>
      </c>
      <c r="I147" s="2" t="s">
        <v>34</v>
      </c>
      <c r="J147" s="2" t="s">
        <v>127</v>
      </c>
      <c r="K147" s="1">
        <v>45367</v>
      </c>
    </row>
    <row r="148" spans="1:11" x14ac:dyDescent="0.35">
      <c r="A148" t="s">
        <v>317</v>
      </c>
      <c r="B148" s="1">
        <v>45352</v>
      </c>
      <c r="C148" t="s">
        <v>307</v>
      </c>
      <c r="D148" t="s">
        <v>128</v>
      </c>
      <c r="E148" s="2">
        <v>1000</v>
      </c>
      <c r="F148" s="2">
        <v>14000</v>
      </c>
      <c r="G148" s="2">
        <v>3.5</v>
      </c>
      <c r="H148" s="2">
        <v>49000</v>
      </c>
      <c r="I148" s="2" t="s">
        <v>34</v>
      </c>
      <c r="J148" s="2" t="s">
        <v>127</v>
      </c>
      <c r="K148" s="1">
        <v>45365</v>
      </c>
    </row>
    <row r="149" spans="1:11" x14ac:dyDescent="0.35">
      <c r="A149" t="s">
        <v>318</v>
      </c>
      <c r="B149" s="1">
        <v>45352</v>
      </c>
      <c r="C149" t="s">
        <v>307</v>
      </c>
      <c r="D149" t="s">
        <v>130</v>
      </c>
      <c r="E149" s="2">
        <v>1000</v>
      </c>
      <c r="F149" s="2">
        <v>15000</v>
      </c>
      <c r="G149" s="2">
        <v>2.96</v>
      </c>
      <c r="H149" s="2">
        <v>44400</v>
      </c>
      <c r="I149" s="2" t="s">
        <v>34</v>
      </c>
      <c r="J149" s="2" t="s">
        <v>127</v>
      </c>
      <c r="K149" s="1">
        <v>45366</v>
      </c>
    </row>
    <row r="150" spans="1:11" x14ac:dyDescent="0.35">
      <c r="A150" t="s">
        <v>319</v>
      </c>
      <c r="B150" s="1">
        <v>45352</v>
      </c>
      <c r="C150" t="s">
        <v>307</v>
      </c>
      <c r="D150" t="s">
        <v>132</v>
      </c>
      <c r="E150" s="2">
        <v>1000</v>
      </c>
      <c r="F150" s="2">
        <v>10000</v>
      </c>
      <c r="G150" s="2">
        <v>4.8</v>
      </c>
      <c r="H150" s="2">
        <v>48000</v>
      </c>
      <c r="I150" s="2" t="s">
        <v>39</v>
      </c>
      <c r="J150" s="2" t="s">
        <v>127</v>
      </c>
      <c r="K150" s="1">
        <v>45371</v>
      </c>
    </row>
    <row r="151" spans="1:11" x14ac:dyDescent="0.35">
      <c r="A151" t="s">
        <v>320</v>
      </c>
      <c r="B151" s="1">
        <v>45352</v>
      </c>
      <c r="C151" t="s">
        <v>307</v>
      </c>
      <c r="D151" t="s">
        <v>134</v>
      </c>
      <c r="E151" s="2">
        <v>500</v>
      </c>
      <c r="F151" s="2">
        <v>11000</v>
      </c>
      <c r="G151" s="2">
        <v>5.94</v>
      </c>
      <c r="H151" s="2">
        <v>65340</v>
      </c>
      <c r="I151" s="2" t="s">
        <v>43</v>
      </c>
      <c r="J151" s="2" t="s">
        <v>118</v>
      </c>
      <c r="K151" s="1">
        <v>45370</v>
      </c>
    </row>
    <row r="152" spans="1:11" x14ac:dyDescent="0.35">
      <c r="A152" t="s">
        <v>321</v>
      </c>
      <c r="B152" s="1">
        <v>45352</v>
      </c>
      <c r="C152" t="s">
        <v>307</v>
      </c>
      <c r="D152" t="s">
        <v>136</v>
      </c>
      <c r="E152" s="2">
        <v>1000</v>
      </c>
      <c r="F152" s="2">
        <v>14000</v>
      </c>
      <c r="G152" s="2">
        <v>2.4700000000000002</v>
      </c>
      <c r="H152" s="2">
        <v>34580</v>
      </c>
      <c r="I152" s="2" t="s">
        <v>34</v>
      </c>
      <c r="J152" s="2" t="s">
        <v>127</v>
      </c>
      <c r="K152" s="1">
        <v>45372</v>
      </c>
    </row>
    <row r="153" spans="1:11" x14ac:dyDescent="0.35">
      <c r="A153" t="s">
        <v>322</v>
      </c>
      <c r="B153" s="1">
        <v>45352</v>
      </c>
      <c r="C153" t="s">
        <v>307</v>
      </c>
      <c r="D153" t="s">
        <v>138</v>
      </c>
      <c r="E153" s="2">
        <v>1000</v>
      </c>
      <c r="F153" s="2">
        <v>11000</v>
      </c>
      <c r="G153" s="2">
        <v>1.8</v>
      </c>
      <c r="H153" s="2">
        <v>19800</v>
      </c>
      <c r="I153" s="2" t="s">
        <v>34</v>
      </c>
      <c r="J153" s="2" t="s">
        <v>127</v>
      </c>
      <c r="K153" s="1">
        <v>45366</v>
      </c>
    </row>
    <row r="154" spans="1:11" x14ac:dyDescent="0.35">
      <c r="A154" t="s">
        <v>323</v>
      </c>
      <c r="B154" s="1">
        <v>45352</v>
      </c>
      <c r="C154" t="s">
        <v>307</v>
      </c>
      <c r="D154" t="s">
        <v>140</v>
      </c>
      <c r="E154" s="2">
        <v>1000</v>
      </c>
      <c r="F154" s="2">
        <v>12000</v>
      </c>
      <c r="G154" s="2">
        <v>2.85</v>
      </c>
      <c r="H154" s="2">
        <v>34200</v>
      </c>
      <c r="I154" s="2" t="s">
        <v>34</v>
      </c>
      <c r="J154" s="2" t="s">
        <v>127</v>
      </c>
      <c r="K154" s="1">
        <v>45364</v>
      </c>
    </row>
    <row r="155" spans="1:11" x14ac:dyDescent="0.35">
      <c r="A155" t="s">
        <v>324</v>
      </c>
      <c r="B155" s="1">
        <v>45383</v>
      </c>
      <c r="C155" t="s">
        <v>325</v>
      </c>
      <c r="D155" t="s">
        <v>142</v>
      </c>
      <c r="E155" s="2">
        <v>500</v>
      </c>
      <c r="F155" s="2">
        <v>6500</v>
      </c>
      <c r="G155" s="2">
        <v>10.88</v>
      </c>
      <c r="H155" s="2">
        <v>70720</v>
      </c>
      <c r="I155" s="2" t="s">
        <v>46</v>
      </c>
      <c r="J155" s="2" t="s">
        <v>118</v>
      </c>
      <c r="K155" s="1">
        <v>45399</v>
      </c>
    </row>
    <row r="156" spans="1:11" x14ac:dyDescent="0.35">
      <c r="A156" t="s">
        <v>326</v>
      </c>
      <c r="B156" s="1">
        <v>45383</v>
      </c>
      <c r="C156" t="s">
        <v>325</v>
      </c>
      <c r="D156" t="s">
        <v>144</v>
      </c>
      <c r="E156" s="2">
        <v>1000</v>
      </c>
      <c r="F156" s="2">
        <v>6000</v>
      </c>
      <c r="G156" s="2">
        <v>5.04</v>
      </c>
      <c r="H156" s="2">
        <v>30240</v>
      </c>
      <c r="I156" s="2" t="s">
        <v>39</v>
      </c>
      <c r="J156" s="2" t="s">
        <v>127</v>
      </c>
      <c r="K156" s="1">
        <v>45402</v>
      </c>
    </row>
    <row r="157" spans="1:11" x14ac:dyDescent="0.35">
      <c r="A157" t="s">
        <v>327</v>
      </c>
      <c r="B157" s="1">
        <v>45383</v>
      </c>
      <c r="C157" t="s">
        <v>325</v>
      </c>
      <c r="D157" t="s">
        <v>146</v>
      </c>
      <c r="E157" s="2">
        <v>1000</v>
      </c>
      <c r="F157" s="2">
        <v>5000</v>
      </c>
      <c r="G157" s="2">
        <v>2.4700000000000002</v>
      </c>
      <c r="H157" s="2">
        <v>12350</v>
      </c>
      <c r="I157" s="2" t="s">
        <v>34</v>
      </c>
      <c r="J157" s="2" t="s">
        <v>127</v>
      </c>
      <c r="K157" s="1">
        <v>45403</v>
      </c>
    </row>
    <row r="158" spans="1:11" x14ac:dyDescent="0.35">
      <c r="A158" t="s">
        <v>328</v>
      </c>
      <c r="B158" s="1">
        <v>45383</v>
      </c>
      <c r="C158" t="s">
        <v>325</v>
      </c>
      <c r="D158" t="s">
        <v>148</v>
      </c>
      <c r="E158" s="2">
        <v>1000</v>
      </c>
      <c r="F158" s="2">
        <v>6000</v>
      </c>
      <c r="G158" s="2">
        <v>3.52</v>
      </c>
      <c r="H158" s="2">
        <v>21120</v>
      </c>
      <c r="I158" s="2" t="s">
        <v>34</v>
      </c>
      <c r="J158" s="2" t="s">
        <v>127</v>
      </c>
      <c r="K158" s="1">
        <v>45399</v>
      </c>
    </row>
    <row r="159" spans="1:11" x14ac:dyDescent="0.35">
      <c r="A159" t="s">
        <v>329</v>
      </c>
      <c r="B159" s="1">
        <v>45383</v>
      </c>
      <c r="C159" t="s">
        <v>325</v>
      </c>
      <c r="D159" t="s">
        <v>150</v>
      </c>
      <c r="E159" s="2">
        <v>500</v>
      </c>
      <c r="F159" s="2">
        <v>4500</v>
      </c>
      <c r="G159" s="2">
        <v>7.04</v>
      </c>
      <c r="H159" s="2">
        <v>31680</v>
      </c>
      <c r="I159" s="2" t="s">
        <v>43</v>
      </c>
      <c r="J159" s="2" t="s">
        <v>118</v>
      </c>
      <c r="K159" s="1">
        <v>45405</v>
      </c>
    </row>
    <row r="160" spans="1:11" x14ac:dyDescent="0.35">
      <c r="A160" t="s">
        <v>330</v>
      </c>
      <c r="B160" s="1">
        <v>45383</v>
      </c>
      <c r="C160" t="s">
        <v>325</v>
      </c>
      <c r="D160" t="s">
        <v>116</v>
      </c>
      <c r="E160" s="2">
        <v>500</v>
      </c>
      <c r="F160" s="2">
        <v>11500</v>
      </c>
      <c r="G160" s="2">
        <v>6.96</v>
      </c>
      <c r="H160" s="2">
        <v>80040</v>
      </c>
      <c r="I160" s="2" t="s">
        <v>46</v>
      </c>
      <c r="J160" s="2" t="s">
        <v>118</v>
      </c>
      <c r="K160" s="1">
        <v>45399</v>
      </c>
    </row>
    <row r="161" spans="1:11" x14ac:dyDescent="0.35">
      <c r="A161" t="s">
        <v>331</v>
      </c>
      <c r="B161" s="1">
        <v>45383</v>
      </c>
      <c r="C161" t="s">
        <v>325</v>
      </c>
      <c r="D161" t="s">
        <v>119</v>
      </c>
      <c r="E161" s="2">
        <v>500</v>
      </c>
      <c r="F161" s="2">
        <v>11000</v>
      </c>
      <c r="G161" s="2">
        <v>10.15</v>
      </c>
      <c r="H161" s="2">
        <v>111650</v>
      </c>
      <c r="I161" s="2" t="s">
        <v>46</v>
      </c>
      <c r="J161" s="2" t="s">
        <v>118</v>
      </c>
      <c r="K161" s="1">
        <v>45405</v>
      </c>
    </row>
    <row r="162" spans="1:11" x14ac:dyDescent="0.35">
      <c r="A162" t="s">
        <v>332</v>
      </c>
      <c r="B162" s="1">
        <v>45383</v>
      </c>
      <c r="C162" t="s">
        <v>325</v>
      </c>
      <c r="D162" t="s">
        <v>121</v>
      </c>
      <c r="E162" s="2">
        <v>500</v>
      </c>
      <c r="F162" s="2">
        <v>9500</v>
      </c>
      <c r="G162" s="2">
        <v>4.5</v>
      </c>
      <c r="H162" s="2">
        <v>42750</v>
      </c>
      <c r="I162" s="2" t="s">
        <v>52</v>
      </c>
      <c r="J162" s="2" t="s">
        <v>118</v>
      </c>
      <c r="K162" s="1">
        <v>45404</v>
      </c>
    </row>
    <row r="163" spans="1:11" x14ac:dyDescent="0.35">
      <c r="A163" t="s">
        <v>333</v>
      </c>
      <c r="B163" s="1">
        <v>45383</v>
      </c>
      <c r="C163" t="s">
        <v>325</v>
      </c>
      <c r="D163" t="s">
        <v>123</v>
      </c>
      <c r="E163" s="2">
        <v>500</v>
      </c>
      <c r="F163" s="2">
        <v>17500</v>
      </c>
      <c r="G163" s="2">
        <v>5.12</v>
      </c>
      <c r="H163" s="2">
        <v>89600</v>
      </c>
      <c r="I163" s="2" t="s">
        <v>46</v>
      </c>
      <c r="J163" s="2" t="s">
        <v>118</v>
      </c>
      <c r="K163" s="1">
        <v>45406</v>
      </c>
    </row>
    <row r="164" spans="1:11" x14ac:dyDescent="0.35">
      <c r="A164" t="s">
        <v>334</v>
      </c>
      <c r="B164" s="1">
        <v>45383</v>
      </c>
      <c r="C164" t="s">
        <v>325</v>
      </c>
      <c r="D164" t="s">
        <v>125</v>
      </c>
      <c r="E164" s="2">
        <v>1000</v>
      </c>
      <c r="F164" s="2">
        <v>14000</v>
      </c>
      <c r="G164" s="2">
        <v>3.96</v>
      </c>
      <c r="H164" s="2">
        <v>55440</v>
      </c>
      <c r="I164" s="2" t="s">
        <v>34</v>
      </c>
      <c r="J164" s="2" t="s">
        <v>127</v>
      </c>
      <c r="K164" s="1">
        <v>45398</v>
      </c>
    </row>
    <row r="165" spans="1:11" x14ac:dyDescent="0.35">
      <c r="A165" t="s">
        <v>335</v>
      </c>
      <c r="B165" s="1">
        <v>45383</v>
      </c>
      <c r="C165" t="s">
        <v>325</v>
      </c>
      <c r="D165" t="s">
        <v>128</v>
      </c>
      <c r="E165" s="2">
        <v>1000</v>
      </c>
      <c r="F165" s="2">
        <v>14000</v>
      </c>
      <c r="G165" s="2">
        <v>3.5</v>
      </c>
      <c r="H165" s="2">
        <v>49000</v>
      </c>
      <c r="I165" s="2" t="s">
        <v>34</v>
      </c>
      <c r="J165" s="2" t="s">
        <v>127</v>
      </c>
      <c r="K165" s="1">
        <v>45395</v>
      </c>
    </row>
    <row r="166" spans="1:11" x14ac:dyDescent="0.35">
      <c r="A166" t="s">
        <v>336</v>
      </c>
      <c r="B166" s="1">
        <v>45383</v>
      </c>
      <c r="C166" t="s">
        <v>325</v>
      </c>
      <c r="D166" t="s">
        <v>130</v>
      </c>
      <c r="E166" s="2">
        <v>1000</v>
      </c>
      <c r="F166" s="2">
        <v>15000</v>
      </c>
      <c r="G166" s="2">
        <v>2.96</v>
      </c>
      <c r="H166" s="2">
        <v>44400</v>
      </c>
      <c r="I166" s="2" t="s">
        <v>34</v>
      </c>
      <c r="J166" s="2" t="s">
        <v>127</v>
      </c>
      <c r="K166" s="1">
        <v>45399</v>
      </c>
    </row>
    <row r="167" spans="1:11" x14ac:dyDescent="0.35">
      <c r="A167" t="s">
        <v>337</v>
      </c>
      <c r="B167" s="1">
        <v>45383</v>
      </c>
      <c r="C167" t="s">
        <v>325</v>
      </c>
      <c r="D167" t="s">
        <v>132</v>
      </c>
      <c r="E167" s="2">
        <v>1000</v>
      </c>
      <c r="F167" s="2">
        <v>10000</v>
      </c>
      <c r="G167" s="2">
        <v>4.8</v>
      </c>
      <c r="H167" s="2">
        <v>48000</v>
      </c>
      <c r="I167" s="2" t="s">
        <v>39</v>
      </c>
      <c r="J167" s="2" t="s">
        <v>127</v>
      </c>
      <c r="K167" s="1">
        <v>45402</v>
      </c>
    </row>
    <row r="168" spans="1:11" x14ac:dyDescent="0.35">
      <c r="A168" t="s">
        <v>338</v>
      </c>
      <c r="B168" s="1">
        <v>45383</v>
      </c>
      <c r="C168" t="s">
        <v>325</v>
      </c>
      <c r="D168" t="s">
        <v>134</v>
      </c>
      <c r="E168" s="2">
        <v>500</v>
      </c>
      <c r="F168" s="2">
        <v>11000</v>
      </c>
      <c r="G168" s="2">
        <v>5.94</v>
      </c>
      <c r="H168" s="2">
        <v>65340</v>
      </c>
      <c r="I168" s="2" t="s">
        <v>43</v>
      </c>
      <c r="J168" s="2" t="s">
        <v>118</v>
      </c>
      <c r="K168" s="1">
        <v>45399</v>
      </c>
    </row>
    <row r="169" spans="1:11" x14ac:dyDescent="0.35">
      <c r="A169" t="s">
        <v>339</v>
      </c>
      <c r="B169" s="1">
        <v>45383</v>
      </c>
      <c r="C169" t="s">
        <v>325</v>
      </c>
      <c r="D169" t="s">
        <v>136</v>
      </c>
      <c r="E169" s="2">
        <v>1000</v>
      </c>
      <c r="F169" s="2">
        <v>14000</v>
      </c>
      <c r="G169" s="2">
        <v>2.4700000000000002</v>
      </c>
      <c r="H169" s="2">
        <v>34580</v>
      </c>
      <c r="I169" s="2" t="s">
        <v>34</v>
      </c>
      <c r="J169" s="2" t="s">
        <v>127</v>
      </c>
      <c r="K169" s="1">
        <v>45401</v>
      </c>
    </row>
    <row r="170" spans="1:11" x14ac:dyDescent="0.35">
      <c r="A170" t="s">
        <v>340</v>
      </c>
      <c r="B170" s="1">
        <v>45383</v>
      </c>
      <c r="C170" t="s">
        <v>325</v>
      </c>
      <c r="D170" t="s">
        <v>138</v>
      </c>
      <c r="E170" s="2">
        <v>1000</v>
      </c>
      <c r="F170" s="2">
        <v>11000</v>
      </c>
      <c r="G170" s="2">
        <v>1.8</v>
      </c>
      <c r="H170" s="2">
        <v>19800</v>
      </c>
      <c r="I170" s="2" t="s">
        <v>34</v>
      </c>
      <c r="J170" s="2" t="s">
        <v>127</v>
      </c>
      <c r="K170" s="1">
        <v>45396</v>
      </c>
    </row>
    <row r="171" spans="1:11" x14ac:dyDescent="0.35">
      <c r="A171" t="s">
        <v>341</v>
      </c>
      <c r="B171" s="1">
        <v>45383</v>
      </c>
      <c r="C171" t="s">
        <v>325</v>
      </c>
      <c r="D171" t="s">
        <v>140</v>
      </c>
      <c r="E171" s="2">
        <v>1000</v>
      </c>
      <c r="F171" s="2">
        <v>12000</v>
      </c>
      <c r="G171" s="2">
        <v>2.85</v>
      </c>
      <c r="H171" s="2">
        <v>34200</v>
      </c>
      <c r="I171" s="2" t="s">
        <v>34</v>
      </c>
      <c r="J171" s="2" t="s">
        <v>127</v>
      </c>
      <c r="K171" s="1">
        <v>45395</v>
      </c>
    </row>
    <row r="172" spans="1:11" x14ac:dyDescent="0.35">
      <c r="A172" t="s">
        <v>342</v>
      </c>
      <c r="B172" s="1">
        <v>45413</v>
      </c>
      <c r="C172" t="s">
        <v>343</v>
      </c>
      <c r="D172" t="s">
        <v>142</v>
      </c>
      <c r="E172" s="2">
        <v>500</v>
      </c>
      <c r="F172" s="2">
        <v>6500</v>
      </c>
      <c r="G172" s="2">
        <v>10.88</v>
      </c>
      <c r="H172" s="2">
        <v>70720</v>
      </c>
      <c r="I172" s="2" t="s">
        <v>46</v>
      </c>
      <c r="J172" s="2" t="s">
        <v>118</v>
      </c>
      <c r="K172" s="1">
        <v>45428</v>
      </c>
    </row>
    <row r="173" spans="1:11" x14ac:dyDescent="0.35">
      <c r="A173" t="s">
        <v>344</v>
      </c>
      <c r="B173" s="1">
        <v>45413</v>
      </c>
      <c r="C173" t="s">
        <v>343</v>
      </c>
      <c r="D173" t="s">
        <v>144</v>
      </c>
      <c r="E173" s="2">
        <v>1000</v>
      </c>
      <c r="F173" s="2">
        <v>6000</v>
      </c>
      <c r="G173" s="2">
        <v>5.04</v>
      </c>
      <c r="H173" s="2">
        <v>30240</v>
      </c>
      <c r="I173" s="2" t="s">
        <v>39</v>
      </c>
      <c r="J173" s="2" t="s">
        <v>127</v>
      </c>
      <c r="K173" s="1">
        <v>45430</v>
      </c>
    </row>
    <row r="174" spans="1:11" x14ac:dyDescent="0.35">
      <c r="A174" t="s">
        <v>345</v>
      </c>
      <c r="B174" s="1">
        <v>45413</v>
      </c>
      <c r="C174" t="s">
        <v>343</v>
      </c>
      <c r="D174" t="s">
        <v>146</v>
      </c>
      <c r="E174" s="2">
        <v>1000</v>
      </c>
      <c r="F174" s="2">
        <v>5000</v>
      </c>
      <c r="G174" s="2">
        <v>2.4700000000000002</v>
      </c>
      <c r="H174" s="2">
        <v>12350</v>
      </c>
      <c r="I174" s="2" t="s">
        <v>34</v>
      </c>
      <c r="J174" s="2" t="s">
        <v>127</v>
      </c>
      <c r="K174" s="1">
        <v>45433</v>
      </c>
    </row>
    <row r="175" spans="1:11" x14ac:dyDescent="0.35">
      <c r="A175" t="s">
        <v>346</v>
      </c>
      <c r="B175" s="1">
        <v>45413</v>
      </c>
      <c r="C175" t="s">
        <v>343</v>
      </c>
      <c r="D175" t="s">
        <v>148</v>
      </c>
      <c r="E175" s="2">
        <v>1000</v>
      </c>
      <c r="F175" s="2">
        <v>6000</v>
      </c>
      <c r="G175" s="2">
        <v>3.52</v>
      </c>
      <c r="H175" s="2">
        <v>21120</v>
      </c>
      <c r="I175" s="2" t="s">
        <v>34</v>
      </c>
      <c r="J175" s="2" t="s">
        <v>127</v>
      </c>
      <c r="K175" s="1">
        <v>45431</v>
      </c>
    </row>
    <row r="176" spans="1:11" x14ac:dyDescent="0.35">
      <c r="A176" t="s">
        <v>347</v>
      </c>
      <c r="B176" s="1">
        <v>45413</v>
      </c>
      <c r="C176" t="s">
        <v>343</v>
      </c>
      <c r="D176" t="s">
        <v>150</v>
      </c>
      <c r="E176" s="2">
        <v>500</v>
      </c>
      <c r="F176" s="2">
        <v>4500</v>
      </c>
      <c r="G176" s="2">
        <v>7.04</v>
      </c>
      <c r="H176" s="2">
        <v>31680</v>
      </c>
      <c r="I176" s="2" t="s">
        <v>43</v>
      </c>
      <c r="J176" s="2" t="s">
        <v>118</v>
      </c>
      <c r="K176" s="1">
        <v>45433</v>
      </c>
    </row>
    <row r="177" spans="1:11" x14ac:dyDescent="0.35">
      <c r="A177" t="s">
        <v>348</v>
      </c>
      <c r="B177" s="1">
        <v>45413</v>
      </c>
      <c r="C177" t="s">
        <v>343</v>
      </c>
      <c r="D177" t="s">
        <v>116</v>
      </c>
      <c r="E177" s="2">
        <v>500</v>
      </c>
      <c r="F177" s="2">
        <v>11500</v>
      </c>
      <c r="G177" s="2">
        <v>6.96</v>
      </c>
      <c r="H177" s="2">
        <v>80040</v>
      </c>
      <c r="I177" s="2" t="s">
        <v>46</v>
      </c>
      <c r="J177" s="2" t="s">
        <v>118</v>
      </c>
      <c r="K177" s="1">
        <v>45430</v>
      </c>
    </row>
    <row r="178" spans="1:11" x14ac:dyDescent="0.35">
      <c r="A178" t="s">
        <v>349</v>
      </c>
      <c r="B178" s="1">
        <v>45413</v>
      </c>
      <c r="C178" t="s">
        <v>343</v>
      </c>
      <c r="D178" t="s">
        <v>119</v>
      </c>
      <c r="E178" s="2">
        <v>500</v>
      </c>
      <c r="F178" s="2">
        <v>11000</v>
      </c>
      <c r="G178" s="2">
        <v>10.15</v>
      </c>
      <c r="H178" s="2">
        <v>111650</v>
      </c>
      <c r="I178" s="2" t="s">
        <v>46</v>
      </c>
      <c r="J178" s="2" t="s">
        <v>118</v>
      </c>
      <c r="K178" s="1">
        <v>45434</v>
      </c>
    </row>
    <row r="179" spans="1:11" x14ac:dyDescent="0.35">
      <c r="A179" t="s">
        <v>350</v>
      </c>
      <c r="B179" s="1">
        <v>45413</v>
      </c>
      <c r="C179" t="s">
        <v>343</v>
      </c>
      <c r="D179" t="s">
        <v>121</v>
      </c>
      <c r="E179" s="2">
        <v>500</v>
      </c>
      <c r="F179" s="2">
        <v>9500</v>
      </c>
      <c r="G179" s="2">
        <v>4.5</v>
      </c>
      <c r="H179" s="2">
        <v>42750</v>
      </c>
      <c r="I179" s="2" t="s">
        <v>52</v>
      </c>
      <c r="J179" s="2" t="s">
        <v>118</v>
      </c>
      <c r="K179" s="1">
        <v>45432</v>
      </c>
    </row>
    <row r="180" spans="1:11" x14ac:dyDescent="0.35">
      <c r="A180" t="s">
        <v>351</v>
      </c>
      <c r="B180" s="1">
        <v>45413</v>
      </c>
      <c r="C180" t="s">
        <v>343</v>
      </c>
      <c r="D180" t="s">
        <v>123</v>
      </c>
      <c r="E180" s="2">
        <v>500</v>
      </c>
      <c r="F180" s="2">
        <v>17500</v>
      </c>
      <c r="G180" s="2">
        <v>5.12</v>
      </c>
      <c r="H180" s="2">
        <v>89600</v>
      </c>
      <c r="I180" s="2" t="s">
        <v>46</v>
      </c>
      <c r="J180" s="2" t="s">
        <v>118</v>
      </c>
      <c r="K180" s="1">
        <v>45434</v>
      </c>
    </row>
    <row r="181" spans="1:11" x14ac:dyDescent="0.35">
      <c r="A181" t="s">
        <v>352</v>
      </c>
      <c r="B181" s="1">
        <v>45413</v>
      </c>
      <c r="C181" t="s">
        <v>343</v>
      </c>
      <c r="D181" t="s">
        <v>125</v>
      </c>
      <c r="E181" s="2">
        <v>1000</v>
      </c>
      <c r="F181" s="2">
        <v>14000</v>
      </c>
      <c r="G181" s="2">
        <v>3.96</v>
      </c>
      <c r="H181" s="2">
        <v>55440</v>
      </c>
      <c r="I181" s="2" t="s">
        <v>34</v>
      </c>
      <c r="J181" s="2" t="s">
        <v>127</v>
      </c>
      <c r="K181" s="1">
        <v>45429</v>
      </c>
    </row>
    <row r="182" spans="1:11" x14ac:dyDescent="0.35">
      <c r="A182" t="s">
        <v>353</v>
      </c>
      <c r="B182" s="1">
        <v>45413</v>
      </c>
      <c r="C182" t="s">
        <v>343</v>
      </c>
      <c r="D182" t="s">
        <v>128</v>
      </c>
      <c r="E182" s="2">
        <v>1000</v>
      </c>
      <c r="F182" s="2">
        <v>14000</v>
      </c>
      <c r="G182" s="2">
        <v>3.5</v>
      </c>
      <c r="H182" s="2">
        <v>49000</v>
      </c>
      <c r="I182" s="2" t="s">
        <v>34</v>
      </c>
      <c r="J182" s="2" t="s">
        <v>127</v>
      </c>
      <c r="K182" s="1">
        <v>45426</v>
      </c>
    </row>
    <row r="183" spans="1:11" x14ac:dyDescent="0.35">
      <c r="A183" t="s">
        <v>354</v>
      </c>
      <c r="B183" s="1">
        <v>45413</v>
      </c>
      <c r="C183" t="s">
        <v>343</v>
      </c>
      <c r="D183" t="s">
        <v>130</v>
      </c>
      <c r="E183" s="2">
        <v>1000</v>
      </c>
      <c r="F183" s="2">
        <v>15000</v>
      </c>
      <c r="G183" s="2">
        <v>2.96</v>
      </c>
      <c r="H183" s="2">
        <v>44400</v>
      </c>
      <c r="I183" s="2" t="s">
        <v>34</v>
      </c>
      <c r="J183" s="2" t="s">
        <v>127</v>
      </c>
      <c r="K183" s="1">
        <v>45427</v>
      </c>
    </row>
    <row r="184" spans="1:11" x14ac:dyDescent="0.35">
      <c r="A184" t="s">
        <v>355</v>
      </c>
      <c r="B184" s="1">
        <v>45413</v>
      </c>
      <c r="C184" t="s">
        <v>343</v>
      </c>
      <c r="D184" t="s">
        <v>132</v>
      </c>
      <c r="E184" s="2">
        <v>1000</v>
      </c>
      <c r="F184" s="2">
        <v>10000</v>
      </c>
      <c r="G184" s="2">
        <v>4.8</v>
      </c>
      <c r="H184" s="2">
        <v>48000</v>
      </c>
      <c r="I184" s="2" t="s">
        <v>39</v>
      </c>
      <c r="J184" s="2" t="s">
        <v>127</v>
      </c>
      <c r="K184" s="1">
        <v>45431</v>
      </c>
    </row>
    <row r="185" spans="1:11" x14ac:dyDescent="0.35">
      <c r="A185" t="s">
        <v>356</v>
      </c>
      <c r="B185" s="1">
        <v>45413</v>
      </c>
      <c r="C185" t="s">
        <v>343</v>
      </c>
      <c r="D185" t="s">
        <v>134</v>
      </c>
      <c r="E185" s="2">
        <v>500</v>
      </c>
      <c r="F185" s="2">
        <v>11000</v>
      </c>
      <c r="G185" s="2">
        <v>5.94</v>
      </c>
      <c r="H185" s="2">
        <v>65340</v>
      </c>
      <c r="I185" s="2" t="s">
        <v>43</v>
      </c>
      <c r="J185" s="2" t="s">
        <v>118</v>
      </c>
      <c r="K185" s="1">
        <v>45429</v>
      </c>
    </row>
    <row r="186" spans="1:11" x14ac:dyDescent="0.35">
      <c r="A186" t="s">
        <v>357</v>
      </c>
      <c r="B186" s="1">
        <v>45413</v>
      </c>
      <c r="C186" t="s">
        <v>343</v>
      </c>
      <c r="D186" t="s">
        <v>136</v>
      </c>
      <c r="E186" s="2">
        <v>1000</v>
      </c>
      <c r="F186" s="2">
        <v>14000</v>
      </c>
      <c r="G186" s="2">
        <v>2.4700000000000002</v>
      </c>
      <c r="H186" s="2">
        <v>34580</v>
      </c>
      <c r="I186" s="2" t="s">
        <v>34</v>
      </c>
      <c r="J186" s="2" t="s">
        <v>127</v>
      </c>
      <c r="K186" s="1">
        <v>45431</v>
      </c>
    </row>
    <row r="187" spans="1:11" x14ac:dyDescent="0.35">
      <c r="A187" t="s">
        <v>358</v>
      </c>
      <c r="B187" s="1">
        <v>45413</v>
      </c>
      <c r="C187" t="s">
        <v>343</v>
      </c>
      <c r="D187" t="s">
        <v>138</v>
      </c>
      <c r="E187" s="2">
        <v>1000</v>
      </c>
      <c r="F187" s="2">
        <v>11000</v>
      </c>
      <c r="G187" s="2">
        <v>1.8</v>
      </c>
      <c r="H187" s="2">
        <v>19800</v>
      </c>
      <c r="I187" s="2" t="s">
        <v>34</v>
      </c>
      <c r="J187" s="2" t="s">
        <v>127</v>
      </c>
      <c r="K187" s="1">
        <v>45427</v>
      </c>
    </row>
    <row r="188" spans="1:11" x14ac:dyDescent="0.35">
      <c r="A188" t="s">
        <v>359</v>
      </c>
      <c r="B188" s="1">
        <v>45413</v>
      </c>
      <c r="C188" t="s">
        <v>343</v>
      </c>
      <c r="D188" t="s">
        <v>140</v>
      </c>
      <c r="E188" s="2">
        <v>1000</v>
      </c>
      <c r="F188" s="2">
        <v>12000</v>
      </c>
      <c r="G188" s="2">
        <v>2.85</v>
      </c>
      <c r="H188" s="2">
        <v>34200</v>
      </c>
      <c r="I188" s="2" t="s">
        <v>34</v>
      </c>
      <c r="J188" s="2" t="s">
        <v>127</v>
      </c>
      <c r="K188" s="1">
        <v>45425</v>
      </c>
    </row>
    <row r="189" spans="1:11" x14ac:dyDescent="0.35">
      <c r="A189" t="s">
        <v>360</v>
      </c>
      <c r="B189" s="1">
        <v>45444</v>
      </c>
      <c r="C189" t="s">
        <v>361</v>
      </c>
      <c r="D189" t="s">
        <v>142</v>
      </c>
      <c r="E189" s="2">
        <v>500</v>
      </c>
      <c r="F189" s="2">
        <v>6500</v>
      </c>
      <c r="G189" s="2">
        <v>10.88</v>
      </c>
      <c r="H189" s="2">
        <v>70720</v>
      </c>
      <c r="I189" s="2" t="s">
        <v>46</v>
      </c>
      <c r="J189" s="2" t="s">
        <v>118</v>
      </c>
      <c r="K189" s="1">
        <v>45460</v>
      </c>
    </row>
    <row r="190" spans="1:11" x14ac:dyDescent="0.35">
      <c r="A190" t="s">
        <v>362</v>
      </c>
      <c r="B190" s="1">
        <v>45444</v>
      </c>
      <c r="C190" t="s">
        <v>361</v>
      </c>
      <c r="D190" t="s">
        <v>144</v>
      </c>
      <c r="E190" s="2">
        <v>1000</v>
      </c>
      <c r="F190" s="2">
        <v>6000</v>
      </c>
      <c r="G190" s="2">
        <v>5.04</v>
      </c>
      <c r="H190" s="2">
        <v>30240</v>
      </c>
      <c r="I190" s="2" t="s">
        <v>39</v>
      </c>
      <c r="J190" s="2" t="s">
        <v>127</v>
      </c>
      <c r="K190" s="1">
        <v>45461</v>
      </c>
    </row>
    <row r="191" spans="1:11" x14ac:dyDescent="0.35">
      <c r="A191" t="s">
        <v>363</v>
      </c>
      <c r="B191" s="1">
        <v>45444</v>
      </c>
      <c r="C191" t="s">
        <v>361</v>
      </c>
      <c r="D191" t="s">
        <v>146</v>
      </c>
      <c r="E191" s="2">
        <v>1000</v>
      </c>
      <c r="F191" s="2">
        <v>5000</v>
      </c>
      <c r="G191" s="2">
        <v>2.4700000000000002</v>
      </c>
      <c r="H191" s="2">
        <v>12350</v>
      </c>
      <c r="I191" s="2" t="s">
        <v>34</v>
      </c>
      <c r="J191" s="2" t="s">
        <v>127</v>
      </c>
      <c r="K191" s="1">
        <v>45463</v>
      </c>
    </row>
    <row r="192" spans="1:11" x14ac:dyDescent="0.35">
      <c r="A192" t="s">
        <v>364</v>
      </c>
      <c r="B192" s="1">
        <v>45444</v>
      </c>
      <c r="C192" t="s">
        <v>361</v>
      </c>
      <c r="D192" t="s">
        <v>148</v>
      </c>
      <c r="E192" s="2">
        <v>1000</v>
      </c>
      <c r="F192" s="2">
        <v>6000</v>
      </c>
      <c r="G192" s="2">
        <v>3.52</v>
      </c>
      <c r="H192" s="2">
        <v>21120</v>
      </c>
      <c r="I192" s="2" t="s">
        <v>34</v>
      </c>
      <c r="J192" s="2" t="s">
        <v>127</v>
      </c>
      <c r="K192" s="1">
        <v>45462</v>
      </c>
    </row>
    <row r="193" spans="1:11" x14ac:dyDescent="0.35">
      <c r="A193" t="s">
        <v>365</v>
      </c>
      <c r="B193" s="1">
        <v>45444</v>
      </c>
      <c r="C193" t="s">
        <v>361</v>
      </c>
      <c r="D193" t="s">
        <v>150</v>
      </c>
      <c r="E193" s="2">
        <v>500</v>
      </c>
      <c r="F193" s="2">
        <v>4500</v>
      </c>
      <c r="G193" s="2">
        <v>7.04</v>
      </c>
      <c r="H193" s="2">
        <v>31680</v>
      </c>
      <c r="I193" s="2" t="s">
        <v>43</v>
      </c>
      <c r="J193" s="2" t="s">
        <v>118</v>
      </c>
      <c r="K193" s="1">
        <v>45465</v>
      </c>
    </row>
    <row r="194" spans="1:11" x14ac:dyDescent="0.35">
      <c r="A194" t="s">
        <v>366</v>
      </c>
      <c r="B194" s="1">
        <v>45444</v>
      </c>
      <c r="C194" t="s">
        <v>361</v>
      </c>
      <c r="D194" t="s">
        <v>116</v>
      </c>
      <c r="E194" s="2">
        <v>500</v>
      </c>
      <c r="F194" s="2">
        <v>11500</v>
      </c>
      <c r="G194" s="2">
        <v>6.96</v>
      </c>
      <c r="H194" s="2">
        <v>80040</v>
      </c>
      <c r="I194" s="2" t="s">
        <v>46</v>
      </c>
      <c r="J194" s="2" t="s">
        <v>118</v>
      </c>
      <c r="K194" s="1">
        <v>45459</v>
      </c>
    </row>
    <row r="195" spans="1:11" x14ac:dyDescent="0.35">
      <c r="A195" t="s">
        <v>367</v>
      </c>
      <c r="B195" s="1">
        <v>45444</v>
      </c>
      <c r="C195" t="s">
        <v>361</v>
      </c>
      <c r="D195" t="s">
        <v>119</v>
      </c>
      <c r="E195" s="2">
        <v>500</v>
      </c>
      <c r="F195" s="2">
        <v>11000</v>
      </c>
      <c r="G195" s="2">
        <v>10.15</v>
      </c>
      <c r="H195" s="2">
        <v>111650</v>
      </c>
      <c r="I195" s="2" t="s">
        <v>46</v>
      </c>
      <c r="J195" s="2" t="s">
        <v>118</v>
      </c>
      <c r="K195" s="1">
        <v>45467</v>
      </c>
    </row>
    <row r="196" spans="1:11" x14ac:dyDescent="0.35">
      <c r="A196" t="s">
        <v>368</v>
      </c>
      <c r="B196" s="1">
        <v>45444</v>
      </c>
      <c r="C196" t="s">
        <v>361</v>
      </c>
      <c r="D196" t="s">
        <v>121</v>
      </c>
      <c r="E196" s="2">
        <v>500</v>
      </c>
      <c r="F196" s="2">
        <v>9500</v>
      </c>
      <c r="G196" s="2">
        <v>4.5</v>
      </c>
      <c r="H196" s="2">
        <v>42750</v>
      </c>
      <c r="I196" s="2" t="s">
        <v>52</v>
      </c>
      <c r="J196" s="2" t="s">
        <v>118</v>
      </c>
      <c r="K196" s="1">
        <v>45463</v>
      </c>
    </row>
    <row r="197" spans="1:11" x14ac:dyDescent="0.35">
      <c r="A197" t="s">
        <v>369</v>
      </c>
      <c r="B197" s="1">
        <v>45444</v>
      </c>
      <c r="C197" t="s">
        <v>361</v>
      </c>
      <c r="D197" t="s">
        <v>123</v>
      </c>
      <c r="E197" s="2">
        <v>500</v>
      </c>
      <c r="F197" s="2">
        <v>17500</v>
      </c>
      <c r="G197" s="2">
        <v>5.12</v>
      </c>
      <c r="H197" s="2">
        <v>89600</v>
      </c>
      <c r="I197" s="2" t="s">
        <v>46</v>
      </c>
      <c r="J197" s="2" t="s">
        <v>118</v>
      </c>
      <c r="K197" s="1">
        <v>45467</v>
      </c>
    </row>
    <row r="198" spans="1:11" x14ac:dyDescent="0.35">
      <c r="A198" t="s">
        <v>370</v>
      </c>
      <c r="B198" s="1">
        <v>45444</v>
      </c>
      <c r="C198" t="s">
        <v>361</v>
      </c>
      <c r="D198" t="s">
        <v>125</v>
      </c>
      <c r="E198" s="2">
        <v>1000</v>
      </c>
      <c r="F198" s="2">
        <v>14000</v>
      </c>
      <c r="G198" s="2">
        <v>3.96</v>
      </c>
      <c r="H198" s="2">
        <v>55440</v>
      </c>
      <c r="I198" s="2" t="s">
        <v>34</v>
      </c>
      <c r="J198" s="2" t="s">
        <v>127</v>
      </c>
      <c r="K198" s="1">
        <v>45460</v>
      </c>
    </row>
    <row r="199" spans="1:11" x14ac:dyDescent="0.35">
      <c r="A199" t="s">
        <v>371</v>
      </c>
      <c r="B199" s="1">
        <v>45444</v>
      </c>
      <c r="C199" t="s">
        <v>361</v>
      </c>
      <c r="D199" t="s">
        <v>128</v>
      </c>
      <c r="E199" s="2">
        <v>1000</v>
      </c>
      <c r="F199" s="2">
        <v>14000</v>
      </c>
      <c r="G199" s="2">
        <v>3.5</v>
      </c>
      <c r="H199" s="2">
        <v>49000</v>
      </c>
      <c r="I199" s="2" t="s">
        <v>34</v>
      </c>
      <c r="J199" s="2" t="s">
        <v>127</v>
      </c>
      <c r="K199" s="1">
        <v>45457</v>
      </c>
    </row>
    <row r="200" spans="1:11" x14ac:dyDescent="0.35">
      <c r="A200" t="s">
        <v>372</v>
      </c>
      <c r="B200" s="1">
        <v>45444</v>
      </c>
      <c r="C200" t="s">
        <v>361</v>
      </c>
      <c r="D200" t="s">
        <v>130</v>
      </c>
      <c r="E200" s="2">
        <v>1000</v>
      </c>
      <c r="F200" s="2">
        <v>15000</v>
      </c>
      <c r="G200" s="2">
        <v>2.96</v>
      </c>
      <c r="H200" s="2">
        <v>44400</v>
      </c>
      <c r="I200" s="2" t="s">
        <v>34</v>
      </c>
      <c r="J200" s="2" t="s">
        <v>127</v>
      </c>
      <c r="K200" s="1">
        <v>45459</v>
      </c>
    </row>
    <row r="201" spans="1:11" x14ac:dyDescent="0.35">
      <c r="A201" t="s">
        <v>373</v>
      </c>
      <c r="B201" s="1">
        <v>45444</v>
      </c>
      <c r="C201" t="s">
        <v>361</v>
      </c>
      <c r="D201" t="s">
        <v>132</v>
      </c>
      <c r="E201" s="2">
        <v>1000</v>
      </c>
      <c r="F201" s="2">
        <v>10000</v>
      </c>
      <c r="G201" s="2">
        <v>4.8</v>
      </c>
      <c r="H201" s="2">
        <v>48000</v>
      </c>
      <c r="I201" s="2" t="s">
        <v>39</v>
      </c>
      <c r="J201" s="2" t="s">
        <v>127</v>
      </c>
      <c r="K201" s="1">
        <v>45462</v>
      </c>
    </row>
    <row r="202" spans="1:11" x14ac:dyDescent="0.35">
      <c r="A202" t="s">
        <v>374</v>
      </c>
      <c r="B202" s="1">
        <v>45444</v>
      </c>
      <c r="C202" t="s">
        <v>361</v>
      </c>
      <c r="D202" t="s">
        <v>134</v>
      </c>
      <c r="E202" s="2">
        <v>500</v>
      </c>
      <c r="F202" s="2">
        <v>11000</v>
      </c>
      <c r="G202" s="2">
        <v>5.94</v>
      </c>
      <c r="H202" s="2">
        <v>65340</v>
      </c>
      <c r="I202" s="2" t="s">
        <v>43</v>
      </c>
      <c r="J202" s="2" t="s">
        <v>118</v>
      </c>
      <c r="K202" s="1">
        <v>45461</v>
      </c>
    </row>
    <row r="203" spans="1:11" x14ac:dyDescent="0.35">
      <c r="A203" t="s">
        <v>375</v>
      </c>
      <c r="B203" s="1">
        <v>45444</v>
      </c>
      <c r="C203" t="s">
        <v>361</v>
      </c>
      <c r="D203" t="s">
        <v>136</v>
      </c>
      <c r="E203" s="2">
        <v>1000</v>
      </c>
      <c r="F203" s="2">
        <v>14000</v>
      </c>
      <c r="G203" s="2">
        <v>2.4700000000000002</v>
      </c>
      <c r="H203" s="2">
        <v>34580</v>
      </c>
      <c r="I203" s="2" t="s">
        <v>34</v>
      </c>
      <c r="J203" s="2" t="s">
        <v>127</v>
      </c>
      <c r="K203" s="1">
        <v>45463</v>
      </c>
    </row>
    <row r="204" spans="1:11" x14ac:dyDescent="0.35">
      <c r="A204" t="s">
        <v>376</v>
      </c>
      <c r="B204" s="1">
        <v>45444</v>
      </c>
      <c r="C204" t="s">
        <v>361</v>
      </c>
      <c r="D204" t="s">
        <v>138</v>
      </c>
      <c r="E204" s="2">
        <v>1000</v>
      </c>
      <c r="F204" s="2">
        <v>11000</v>
      </c>
      <c r="G204" s="2">
        <v>1.8</v>
      </c>
      <c r="H204" s="2">
        <v>19800</v>
      </c>
      <c r="I204" s="2" t="s">
        <v>34</v>
      </c>
      <c r="J204" s="2" t="s">
        <v>127</v>
      </c>
      <c r="K204" s="1">
        <v>45457</v>
      </c>
    </row>
    <row r="205" spans="1:11" x14ac:dyDescent="0.35">
      <c r="A205" t="s">
        <v>377</v>
      </c>
      <c r="B205" s="1">
        <v>45444</v>
      </c>
      <c r="C205" t="s">
        <v>361</v>
      </c>
      <c r="D205" t="s">
        <v>140</v>
      </c>
      <c r="E205" s="2">
        <v>1000</v>
      </c>
      <c r="F205" s="2">
        <v>12000</v>
      </c>
      <c r="G205" s="2">
        <v>2.85</v>
      </c>
      <c r="H205" s="2">
        <v>34200</v>
      </c>
      <c r="I205" s="2" t="s">
        <v>34</v>
      </c>
      <c r="J205" s="2" t="s">
        <v>127</v>
      </c>
      <c r="K205" s="1">
        <v>45456</v>
      </c>
    </row>
    <row r="206" spans="1:11" x14ac:dyDescent="0.35">
      <c r="A206" t="s">
        <v>378</v>
      </c>
      <c r="B206" s="1">
        <v>45474</v>
      </c>
      <c r="C206" t="s">
        <v>379</v>
      </c>
      <c r="D206" t="s">
        <v>142</v>
      </c>
      <c r="E206" s="2">
        <v>500</v>
      </c>
      <c r="F206" s="2">
        <v>6500</v>
      </c>
      <c r="G206" s="2">
        <v>10.88</v>
      </c>
      <c r="H206" s="2">
        <v>70720</v>
      </c>
      <c r="I206" s="2" t="s">
        <v>46</v>
      </c>
      <c r="J206" s="2" t="s">
        <v>118</v>
      </c>
      <c r="K206" s="1">
        <v>45488</v>
      </c>
    </row>
    <row r="207" spans="1:11" x14ac:dyDescent="0.35">
      <c r="A207" t="s">
        <v>380</v>
      </c>
      <c r="B207" s="1">
        <v>45474</v>
      </c>
      <c r="C207" t="s">
        <v>379</v>
      </c>
      <c r="D207" t="s">
        <v>144</v>
      </c>
      <c r="E207" s="2">
        <v>1000</v>
      </c>
      <c r="F207" s="2">
        <v>6000</v>
      </c>
      <c r="G207" s="2">
        <v>5.04</v>
      </c>
      <c r="H207" s="2">
        <v>30240</v>
      </c>
      <c r="I207" s="2" t="s">
        <v>39</v>
      </c>
      <c r="J207" s="2" t="s">
        <v>127</v>
      </c>
      <c r="K207" s="1">
        <v>45493</v>
      </c>
    </row>
    <row r="208" spans="1:11" x14ac:dyDescent="0.35">
      <c r="A208" t="s">
        <v>381</v>
      </c>
      <c r="B208" s="1">
        <v>45474</v>
      </c>
      <c r="C208" t="s">
        <v>379</v>
      </c>
      <c r="D208" t="s">
        <v>146</v>
      </c>
      <c r="E208" s="2">
        <v>1000</v>
      </c>
      <c r="F208" s="2">
        <v>5000</v>
      </c>
      <c r="G208" s="2">
        <v>2.4700000000000002</v>
      </c>
      <c r="H208" s="2">
        <v>12350</v>
      </c>
      <c r="I208" s="2" t="s">
        <v>34</v>
      </c>
      <c r="J208" s="2" t="s">
        <v>127</v>
      </c>
      <c r="K208" s="1">
        <v>45493</v>
      </c>
    </row>
    <row r="209" spans="1:11" x14ac:dyDescent="0.35">
      <c r="A209" t="s">
        <v>382</v>
      </c>
      <c r="B209" s="1">
        <v>45474</v>
      </c>
      <c r="C209" t="s">
        <v>379</v>
      </c>
      <c r="D209" t="s">
        <v>148</v>
      </c>
      <c r="E209" s="2">
        <v>1000</v>
      </c>
      <c r="F209" s="2">
        <v>6000</v>
      </c>
      <c r="G209" s="2">
        <v>3.52</v>
      </c>
      <c r="H209" s="2">
        <v>21120</v>
      </c>
      <c r="I209" s="2" t="s">
        <v>34</v>
      </c>
      <c r="J209" s="2" t="s">
        <v>127</v>
      </c>
      <c r="K209" s="1">
        <v>45491</v>
      </c>
    </row>
    <row r="210" spans="1:11" x14ac:dyDescent="0.35">
      <c r="A210" t="s">
        <v>383</v>
      </c>
      <c r="B210" s="1">
        <v>45474</v>
      </c>
      <c r="C210" t="s">
        <v>379</v>
      </c>
      <c r="D210" t="s">
        <v>150</v>
      </c>
      <c r="E210" s="2">
        <v>500</v>
      </c>
      <c r="F210" s="2">
        <v>4500</v>
      </c>
      <c r="G210" s="2">
        <v>7.04</v>
      </c>
      <c r="H210" s="2">
        <v>31680</v>
      </c>
      <c r="I210" s="2" t="s">
        <v>43</v>
      </c>
      <c r="J210" s="2" t="s">
        <v>118</v>
      </c>
      <c r="K210" s="1">
        <v>45495</v>
      </c>
    </row>
    <row r="211" spans="1:11" x14ac:dyDescent="0.35">
      <c r="A211" t="s">
        <v>384</v>
      </c>
      <c r="B211" s="1">
        <v>45474</v>
      </c>
      <c r="C211" t="s">
        <v>379</v>
      </c>
      <c r="D211" t="s">
        <v>116</v>
      </c>
      <c r="E211" s="2">
        <v>500</v>
      </c>
      <c r="F211" s="2">
        <v>11500</v>
      </c>
      <c r="G211" s="2">
        <v>6.96</v>
      </c>
      <c r="H211" s="2">
        <v>80040</v>
      </c>
      <c r="I211" s="2" t="s">
        <v>46</v>
      </c>
      <c r="J211" s="2" t="s">
        <v>118</v>
      </c>
      <c r="K211" s="1">
        <v>45490</v>
      </c>
    </row>
    <row r="212" spans="1:11" x14ac:dyDescent="0.35">
      <c r="A212" t="s">
        <v>385</v>
      </c>
      <c r="B212" s="1">
        <v>45474</v>
      </c>
      <c r="C212" t="s">
        <v>379</v>
      </c>
      <c r="D212" t="s">
        <v>119</v>
      </c>
      <c r="E212" s="2">
        <v>500</v>
      </c>
      <c r="F212" s="2">
        <v>11000</v>
      </c>
      <c r="G212" s="2">
        <v>10.15</v>
      </c>
      <c r="H212" s="2">
        <v>111650</v>
      </c>
      <c r="I212" s="2" t="s">
        <v>46</v>
      </c>
      <c r="J212" s="2" t="s">
        <v>118</v>
      </c>
      <c r="K212" s="1">
        <v>45496</v>
      </c>
    </row>
    <row r="213" spans="1:11" x14ac:dyDescent="0.35">
      <c r="A213" t="s">
        <v>386</v>
      </c>
      <c r="B213" s="1">
        <v>45474</v>
      </c>
      <c r="C213" t="s">
        <v>379</v>
      </c>
      <c r="D213" t="s">
        <v>121</v>
      </c>
      <c r="E213" s="2">
        <v>500</v>
      </c>
      <c r="F213" s="2">
        <v>9500</v>
      </c>
      <c r="G213" s="2">
        <v>4.5</v>
      </c>
      <c r="H213" s="2">
        <v>42750</v>
      </c>
      <c r="I213" s="2" t="s">
        <v>52</v>
      </c>
      <c r="J213" s="2" t="s">
        <v>118</v>
      </c>
      <c r="K213" s="1">
        <v>45495</v>
      </c>
    </row>
    <row r="214" spans="1:11" x14ac:dyDescent="0.35">
      <c r="A214" t="s">
        <v>387</v>
      </c>
      <c r="B214" s="1">
        <v>45474</v>
      </c>
      <c r="C214" t="s">
        <v>379</v>
      </c>
      <c r="D214" t="s">
        <v>123</v>
      </c>
      <c r="E214" s="2">
        <v>500</v>
      </c>
      <c r="F214" s="2">
        <v>17500</v>
      </c>
      <c r="G214" s="2">
        <v>5.12</v>
      </c>
      <c r="H214" s="2">
        <v>89600</v>
      </c>
      <c r="I214" s="2" t="s">
        <v>46</v>
      </c>
      <c r="J214" s="2" t="s">
        <v>118</v>
      </c>
      <c r="K214" s="1">
        <v>45495</v>
      </c>
    </row>
    <row r="215" spans="1:11" x14ac:dyDescent="0.35">
      <c r="A215" t="s">
        <v>388</v>
      </c>
      <c r="B215" s="1">
        <v>45474</v>
      </c>
      <c r="C215" t="s">
        <v>379</v>
      </c>
      <c r="D215" t="s">
        <v>125</v>
      </c>
      <c r="E215" s="2">
        <v>1000</v>
      </c>
      <c r="F215" s="2">
        <v>14000</v>
      </c>
      <c r="G215" s="2">
        <v>3.96</v>
      </c>
      <c r="H215" s="2">
        <v>55440</v>
      </c>
      <c r="I215" s="2" t="s">
        <v>34</v>
      </c>
      <c r="J215" s="2" t="s">
        <v>127</v>
      </c>
      <c r="K215" s="1">
        <v>45490</v>
      </c>
    </row>
    <row r="216" spans="1:11" x14ac:dyDescent="0.35">
      <c r="A216" t="s">
        <v>389</v>
      </c>
      <c r="B216" s="1">
        <v>45474</v>
      </c>
      <c r="C216" t="s">
        <v>379</v>
      </c>
      <c r="D216" t="s">
        <v>128</v>
      </c>
      <c r="E216" s="2">
        <v>1000</v>
      </c>
      <c r="F216" s="2">
        <v>14000</v>
      </c>
      <c r="G216" s="2">
        <v>3.5</v>
      </c>
      <c r="H216" s="2">
        <v>49000</v>
      </c>
      <c r="I216" s="2" t="s">
        <v>34</v>
      </c>
      <c r="J216" s="2" t="s">
        <v>127</v>
      </c>
      <c r="K216" s="1">
        <v>45487</v>
      </c>
    </row>
    <row r="217" spans="1:11" x14ac:dyDescent="0.35">
      <c r="A217" t="s">
        <v>390</v>
      </c>
      <c r="B217" s="1">
        <v>45474</v>
      </c>
      <c r="C217" t="s">
        <v>379</v>
      </c>
      <c r="D217" t="s">
        <v>130</v>
      </c>
      <c r="E217" s="2">
        <v>1000</v>
      </c>
      <c r="F217" s="2">
        <v>15000</v>
      </c>
      <c r="G217" s="2">
        <v>2.96</v>
      </c>
      <c r="H217" s="2">
        <v>44400</v>
      </c>
      <c r="I217" s="2" t="s">
        <v>34</v>
      </c>
      <c r="J217" s="2" t="s">
        <v>127</v>
      </c>
      <c r="K217" s="1">
        <v>45490</v>
      </c>
    </row>
    <row r="218" spans="1:11" x14ac:dyDescent="0.35">
      <c r="A218" t="s">
        <v>391</v>
      </c>
      <c r="B218" s="1">
        <v>45474</v>
      </c>
      <c r="C218" t="s">
        <v>379</v>
      </c>
      <c r="D218" t="s">
        <v>132</v>
      </c>
      <c r="E218" s="2">
        <v>1000</v>
      </c>
      <c r="F218" s="2">
        <v>10000</v>
      </c>
      <c r="G218" s="2">
        <v>4.8</v>
      </c>
      <c r="H218" s="2">
        <v>48000</v>
      </c>
      <c r="I218" s="2" t="s">
        <v>39</v>
      </c>
      <c r="J218" s="2" t="s">
        <v>127</v>
      </c>
      <c r="K218" s="1">
        <v>45492</v>
      </c>
    </row>
    <row r="219" spans="1:11" x14ac:dyDescent="0.35">
      <c r="A219" t="s">
        <v>392</v>
      </c>
      <c r="B219" s="1">
        <v>45474</v>
      </c>
      <c r="C219" t="s">
        <v>379</v>
      </c>
      <c r="D219" t="s">
        <v>134</v>
      </c>
      <c r="E219" s="2">
        <v>500</v>
      </c>
      <c r="F219" s="2">
        <v>11000</v>
      </c>
      <c r="G219" s="2">
        <v>5.94</v>
      </c>
      <c r="H219" s="2">
        <v>65340</v>
      </c>
      <c r="I219" s="2" t="s">
        <v>43</v>
      </c>
      <c r="J219" s="2" t="s">
        <v>118</v>
      </c>
      <c r="K219" s="1">
        <v>45490</v>
      </c>
    </row>
    <row r="220" spans="1:11" x14ac:dyDescent="0.35">
      <c r="A220" t="s">
        <v>393</v>
      </c>
      <c r="B220" s="1">
        <v>45474</v>
      </c>
      <c r="C220" t="s">
        <v>379</v>
      </c>
      <c r="D220" t="s">
        <v>136</v>
      </c>
      <c r="E220" s="2">
        <v>1000</v>
      </c>
      <c r="F220" s="2">
        <v>14000</v>
      </c>
      <c r="G220" s="2">
        <v>2.4700000000000002</v>
      </c>
      <c r="H220" s="2">
        <v>34580</v>
      </c>
      <c r="I220" s="2" t="s">
        <v>34</v>
      </c>
      <c r="J220" s="2" t="s">
        <v>127</v>
      </c>
      <c r="K220" s="1">
        <v>45493</v>
      </c>
    </row>
    <row r="221" spans="1:11" x14ac:dyDescent="0.35">
      <c r="A221" t="s">
        <v>394</v>
      </c>
      <c r="B221" s="1">
        <v>45474</v>
      </c>
      <c r="C221" t="s">
        <v>379</v>
      </c>
      <c r="D221" t="s">
        <v>138</v>
      </c>
      <c r="E221" s="2">
        <v>1000</v>
      </c>
      <c r="F221" s="2">
        <v>11000</v>
      </c>
      <c r="G221" s="2">
        <v>1.8</v>
      </c>
      <c r="H221" s="2">
        <v>19800</v>
      </c>
      <c r="I221" s="2" t="s">
        <v>34</v>
      </c>
      <c r="J221" s="2" t="s">
        <v>127</v>
      </c>
      <c r="K221" s="1">
        <v>45489</v>
      </c>
    </row>
    <row r="222" spans="1:11" x14ac:dyDescent="0.35">
      <c r="A222" t="s">
        <v>395</v>
      </c>
      <c r="B222" s="1">
        <v>45474</v>
      </c>
      <c r="C222" t="s">
        <v>379</v>
      </c>
      <c r="D222" t="s">
        <v>140</v>
      </c>
      <c r="E222" s="2">
        <v>1000</v>
      </c>
      <c r="F222" s="2">
        <v>12000</v>
      </c>
      <c r="G222" s="2">
        <v>2.85</v>
      </c>
      <c r="H222" s="2">
        <v>34200</v>
      </c>
      <c r="I222" s="2" t="s">
        <v>34</v>
      </c>
      <c r="J222" s="2" t="s">
        <v>127</v>
      </c>
      <c r="K222" s="1">
        <v>45487</v>
      </c>
    </row>
    <row r="223" spans="1:11" x14ac:dyDescent="0.35">
      <c r="A223" t="s">
        <v>396</v>
      </c>
      <c r="B223" s="1">
        <v>45505</v>
      </c>
      <c r="C223" t="s">
        <v>397</v>
      </c>
      <c r="D223" t="s">
        <v>142</v>
      </c>
      <c r="E223" s="2">
        <v>500</v>
      </c>
      <c r="F223" s="2">
        <v>6500</v>
      </c>
      <c r="G223" s="2">
        <v>10.88</v>
      </c>
      <c r="H223" s="2">
        <v>70720</v>
      </c>
      <c r="I223" s="2" t="s">
        <v>46</v>
      </c>
      <c r="J223" s="2" t="s">
        <v>118</v>
      </c>
      <c r="K223" s="1">
        <v>45519</v>
      </c>
    </row>
    <row r="224" spans="1:11" x14ac:dyDescent="0.35">
      <c r="A224" t="s">
        <v>398</v>
      </c>
      <c r="B224" s="1">
        <v>45505</v>
      </c>
      <c r="C224" t="s">
        <v>397</v>
      </c>
      <c r="D224" t="s">
        <v>144</v>
      </c>
      <c r="E224" s="2">
        <v>1000</v>
      </c>
      <c r="F224" s="2">
        <v>6000</v>
      </c>
      <c r="G224" s="2">
        <v>5.04</v>
      </c>
      <c r="H224" s="2">
        <v>30240</v>
      </c>
      <c r="I224" s="2" t="s">
        <v>39</v>
      </c>
      <c r="J224" s="2" t="s">
        <v>127</v>
      </c>
      <c r="K224" s="1">
        <v>45522</v>
      </c>
    </row>
    <row r="225" spans="1:11" x14ac:dyDescent="0.35">
      <c r="A225" t="s">
        <v>399</v>
      </c>
      <c r="B225" s="1">
        <v>45505</v>
      </c>
      <c r="C225" t="s">
        <v>397</v>
      </c>
      <c r="D225" t="s">
        <v>146</v>
      </c>
      <c r="E225" s="2">
        <v>1000</v>
      </c>
      <c r="F225" s="2">
        <v>5000</v>
      </c>
      <c r="G225" s="2">
        <v>2.4700000000000002</v>
      </c>
      <c r="H225" s="2">
        <v>12350</v>
      </c>
      <c r="I225" s="2" t="s">
        <v>34</v>
      </c>
      <c r="J225" s="2" t="s">
        <v>127</v>
      </c>
      <c r="K225" s="1">
        <v>45523</v>
      </c>
    </row>
    <row r="226" spans="1:11" x14ac:dyDescent="0.35">
      <c r="A226" t="s">
        <v>400</v>
      </c>
      <c r="B226" s="1">
        <v>45505</v>
      </c>
      <c r="C226" t="s">
        <v>397</v>
      </c>
      <c r="D226" t="s">
        <v>148</v>
      </c>
      <c r="E226" s="2">
        <v>1000</v>
      </c>
      <c r="F226" s="2">
        <v>6000</v>
      </c>
      <c r="G226" s="2">
        <v>3.52</v>
      </c>
      <c r="H226" s="2">
        <v>21120</v>
      </c>
      <c r="I226" s="2" t="s">
        <v>34</v>
      </c>
      <c r="J226" s="2" t="s">
        <v>127</v>
      </c>
      <c r="K226" s="1">
        <v>45521</v>
      </c>
    </row>
    <row r="227" spans="1:11" x14ac:dyDescent="0.35">
      <c r="A227" t="s">
        <v>401</v>
      </c>
      <c r="B227" s="1">
        <v>45505</v>
      </c>
      <c r="C227" t="s">
        <v>397</v>
      </c>
      <c r="D227" t="s">
        <v>150</v>
      </c>
      <c r="E227" s="2">
        <v>500</v>
      </c>
      <c r="F227" s="2">
        <v>4500</v>
      </c>
      <c r="G227" s="2">
        <v>7.04</v>
      </c>
      <c r="H227" s="2">
        <v>31680</v>
      </c>
      <c r="I227" s="2" t="s">
        <v>43</v>
      </c>
      <c r="J227" s="2" t="s">
        <v>118</v>
      </c>
      <c r="K227" s="1">
        <v>45527</v>
      </c>
    </row>
    <row r="228" spans="1:11" x14ac:dyDescent="0.35">
      <c r="A228" t="s">
        <v>402</v>
      </c>
      <c r="B228" s="1">
        <v>45505</v>
      </c>
      <c r="C228" t="s">
        <v>397</v>
      </c>
      <c r="D228" t="s">
        <v>116</v>
      </c>
      <c r="E228" s="2">
        <v>500</v>
      </c>
      <c r="F228" s="2">
        <v>11500</v>
      </c>
      <c r="G228" s="2">
        <v>6.96</v>
      </c>
      <c r="H228" s="2">
        <v>80040</v>
      </c>
      <c r="I228" s="2" t="s">
        <v>46</v>
      </c>
      <c r="J228" s="2" t="s">
        <v>118</v>
      </c>
      <c r="K228" s="1">
        <v>45521</v>
      </c>
    </row>
    <row r="229" spans="1:11" x14ac:dyDescent="0.35">
      <c r="A229" t="s">
        <v>403</v>
      </c>
      <c r="B229" s="1">
        <v>45505</v>
      </c>
      <c r="C229" t="s">
        <v>397</v>
      </c>
      <c r="D229" t="s">
        <v>119</v>
      </c>
      <c r="E229" s="2">
        <v>500</v>
      </c>
      <c r="F229" s="2">
        <v>11000</v>
      </c>
      <c r="G229" s="2">
        <v>10.15</v>
      </c>
      <c r="H229" s="2">
        <v>111650</v>
      </c>
      <c r="I229" s="2" t="s">
        <v>46</v>
      </c>
      <c r="J229" s="2" t="s">
        <v>118</v>
      </c>
      <c r="K229" s="1">
        <v>45526</v>
      </c>
    </row>
    <row r="230" spans="1:11" x14ac:dyDescent="0.35">
      <c r="A230" t="s">
        <v>404</v>
      </c>
      <c r="B230" s="1">
        <v>45505</v>
      </c>
      <c r="C230" t="s">
        <v>397</v>
      </c>
      <c r="D230" t="s">
        <v>121</v>
      </c>
      <c r="E230" s="2">
        <v>500</v>
      </c>
      <c r="F230" s="2">
        <v>9500</v>
      </c>
      <c r="G230" s="2">
        <v>4.5</v>
      </c>
      <c r="H230" s="2">
        <v>42750</v>
      </c>
      <c r="I230" s="2" t="s">
        <v>52</v>
      </c>
      <c r="J230" s="2" t="s">
        <v>118</v>
      </c>
      <c r="K230" s="1">
        <v>45525</v>
      </c>
    </row>
    <row r="231" spans="1:11" x14ac:dyDescent="0.35">
      <c r="A231" t="s">
        <v>405</v>
      </c>
      <c r="B231" s="1">
        <v>45505</v>
      </c>
      <c r="C231" t="s">
        <v>397</v>
      </c>
      <c r="D231" t="s">
        <v>123</v>
      </c>
      <c r="E231" s="2">
        <v>500</v>
      </c>
      <c r="F231" s="2">
        <v>17500</v>
      </c>
      <c r="G231" s="2">
        <v>5.12</v>
      </c>
      <c r="H231" s="2">
        <v>89600</v>
      </c>
      <c r="I231" s="2" t="s">
        <v>46</v>
      </c>
      <c r="J231" s="2" t="s">
        <v>118</v>
      </c>
      <c r="K231" s="1">
        <v>45526</v>
      </c>
    </row>
    <row r="232" spans="1:11" x14ac:dyDescent="0.35">
      <c r="A232" t="s">
        <v>406</v>
      </c>
      <c r="B232" s="1">
        <v>45505</v>
      </c>
      <c r="C232" t="s">
        <v>397</v>
      </c>
      <c r="D232" t="s">
        <v>125</v>
      </c>
      <c r="E232" s="2">
        <v>1000</v>
      </c>
      <c r="F232" s="2">
        <v>14000</v>
      </c>
      <c r="G232" s="2">
        <v>3.96</v>
      </c>
      <c r="H232" s="2">
        <v>55440</v>
      </c>
      <c r="I232" s="2" t="s">
        <v>34</v>
      </c>
      <c r="J232" s="2" t="s">
        <v>127</v>
      </c>
      <c r="K232" s="1">
        <v>45520</v>
      </c>
    </row>
    <row r="233" spans="1:11" x14ac:dyDescent="0.35">
      <c r="A233" t="s">
        <v>407</v>
      </c>
      <c r="B233" s="1">
        <v>45505</v>
      </c>
      <c r="C233" t="s">
        <v>397</v>
      </c>
      <c r="D233" t="s">
        <v>128</v>
      </c>
      <c r="E233" s="2">
        <v>1000</v>
      </c>
      <c r="F233" s="2">
        <v>14000</v>
      </c>
      <c r="G233" s="2">
        <v>3.5</v>
      </c>
      <c r="H233" s="2">
        <v>49000</v>
      </c>
      <c r="I233" s="2" t="s">
        <v>34</v>
      </c>
      <c r="J233" s="2" t="s">
        <v>127</v>
      </c>
      <c r="K233" s="1">
        <v>45517</v>
      </c>
    </row>
    <row r="234" spans="1:11" x14ac:dyDescent="0.35">
      <c r="A234" t="s">
        <v>408</v>
      </c>
      <c r="B234" s="1">
        <v>45505</v>
      </c>
      <c r="C234" t="s">
        <v>397</v>
      </c>
      <c r="D234" t="s">
        <v>130</v>
      </c>
      <c r="E234" s="2">
        <v>1000</v>
      </c>
      <c r="F234" s="2">
        <v>15000</v>
      </c>
      <c r="G234" s="2">
        <v>2.96</v>
      </c>
      <c r="H234" s="2">
        <v>44400</v>
      </c>
      <c r="I234" s="2" t="s">
        <v>34</v>
      </c>
      <c r="J234" s="2" t="s">
        <v>127</v>
      </c>
      <c r="K234" s="1">
        <v>45519</v>
      </c>
    </row>
    <row r="235" spans="1:11" x14ac:dyDescent="0.35">
      <c r="A235" t="s">
        <v>409</v>
      </c>
      <c r="B235" s="1">
        <v>45505</v>
      </c>
      <c r="C235" t="s">
        <v>397</v>
      </c>
      <c r="D235" t="s">
        <v>132</v>
      </c>
      <c r="E235" s="2">
        <v>1000</v>
      </c>
      <c r="F235" s="2">
        <v>10000</v>
      </c>
      <c r="G235" s="2">
        <v>4.8</v>
      </c>
      <c r="H235" s="2">
        <v>48000</v>
      </c>
      <c r="I235" s="2" t="s">
        <v>39</v>
      </c>
      <c r="J235" s="2" t="s">
        <v>127</v>
      </c>
      <c r="K235" s="1">
        <v>45523</v>
      </c>
    </row>
    <row r="236" spans="1:11" x14ac:dyDescent="0.35">
      <c r="A236" t="s">
        <v>410</v>
      </c>
      <c r="B236" s="1">
        <v>45505</v>
      </c>
      <c r="C236" t="s">
        <v>397</v>
      </c>
      <c r="D236" t="s">
        <v>134</v>
      </c>
      <c r="E236" s="2">
        <v>500</v>
      </c>
      <c r="F236" s="2">
        <v>11000</v>
      </c>
      <c r="G236" s="2">
        <v>5.94</v>
      </c>
      <c r="H236" s="2">
        <v>65340</v>
      </c>
      <c r="I236" s="2" t="s">
        <v>43</v>
      </c>
      <c r="J236" s="2" t="s">
        <v>118</v>
      </c>
      <c r="K236" s="1">
        <v>45522</v>
      </c>
    </row>
    <row r="237" spans="1:11" x14ac:dyDescent="0.35">
      <c r="A237" t="s">
        <v>411</v>
      </c>
      <c r="B237" s="1">
        <v>45505</v>
      </c>
      <c r="C237" t="s">
        <v>397</v>
      </c>
      <c r="D237" t="s">
        <v>136</v>
      </c>
      <c r="E237" s="2">
        <v>1000</v>
      </c>
      <c r="F237" s="2">
        <v>14000</v>
      </c>
      <c r="G237" s="2">
        <v>2.4700000000000002</v>
      </c>
      <c r="H237" s="2">
        <v>34580</v>
      </c>
      <c r="I237" s="2" t="s">
        <v>34</v>
      </c>
      <c r="J237" s="2" t="s">
        <v>127</v>
      </c>
      <c r="K237" s="1">
        <v>45525</v>
      </c>
    </row>
    <row r="238" spans="1:11" x14ac:dyDescent="0.35">
      <c r="A238" t="s">
        <v>412</v>
      </c>
      <c r="B238" s="1">
        <v>45505</v>
      </c>
      <c r="C238" t="s">
        <v>397</v>
      </c>
      <c r="D238" t="s">
        <v>138</v>
      </c>
      <c r="E238" s="2">
        <v>1000</v>
      </c>
      <c r="F238" s="2">
        <v>11000</v>
      </c>
      <c r="G238" s="2">
        <v>1.8</v>
      </c>
      <c r="H238" s="2">
        <v>19800</v>
      </c>
      <c r="I238" s="2" t="s">
        <v>34</v>
      </c>
      <c r="J238" s="2" t="s">
        <v>127</v>
      </c>
      <c r="K238" s="1">
        <v>45518</v>
      </c>
    </row>
    <row r="239" spans="1:11" x14ac:dyDescent="0.35">
      <c r="A239" t="s">
        <v>413</v>
      </c>
      <c r="B239" s="1">
        <v>45505</v>
      </c>
      <c r="C239" t="s">
        <v>397</v>
      </c>
      <c r="D239" t="s">
        <v>140</v>
      </c>
      <c r="E239" s="2">
        <v>1000</v>
      </c>
      <c r="F239" s="2">
        <v>12000</v>
      </c>
      <c r="G239" s="2">
        <v>2.85</v>
      </c>
      <c r="H239" s="2">
        <v>34200</v>
      </c>
      <c r="I239" s="2" t="s">
        <v>34</v>
      </c>
      <c r="J239" s="2" t="s">
        <v>127</v>
      </c>
      <c r="K239" s="1">
        <v>45517</v>
      </c>
    </row>
    <row r="240" spans="1:11" x14ac:dyDescent="0.35">
      <c r="A240" t="s">
        <v>414</v>
      </c>
      <c r="B240" s="1">
        <v>45536</v>
      </c>
      <c r="C240" t="s">
        <v>415</v>
      </c>
      <c r="D240" t="s">
        <v>142</v>
      </c>
      <c r="E240" s="2">
        <v>500</v>
      </c>
      <c r="F240" s="2">
        <v>6500</v>
      </c>
      <c r="G240" s="2">
        <v>10.88</v>
      </c>
      <c r="H240" s="2">
        <v>70720</v>
      </c>
      <c r="I240" s="2" t="s">
        <v>46</v>
      </c>
      <c r="J240" s="2" t="s">
        <v>118</v>
      </c>
      <c r="K240" s="1">
        <v>45552</v>
      </c>
    </row>
    <row r="241" spans="1:11" x14ac:dyDescent="0.35">
      <c r="A241" t="s">
        <v>416</v>
      </c>
      <c r="B241" s="1">
        <v>45536</v>
      </c>
      <c r="C241" t="s">
        <v>415</v>
      </c>
      <c r="D241" t="s">
        <v>144</v>
      </c>
      <c r="E241" s="2">
        <v>1000</v>
      </c>
      <c r="F241" s="2">
        <v>6000</v>
      </c>
      <c r="G241" s="2">
        <v>5.04</v>
      </c>
      <c r="H241" s="2">
        <v>30240</v>
      </c>
      <c r="I241" s="2" t="s">
        <v>39</v>
      </c>
      <c r="J241" s="2" t="s">
        <v>127</v>
      </c>
      <c r="K241" s="1">
        <v>45555</v>
      </c>
    </row>
    <row r="242" spans="1:11" x14ac:dyDescent="0.35">
      <c r="A242" t="s">
        <v>417</v>
      </c>
      <c r="B242" s="1">
        <v>45536</v>
      </c>
      <c r="C242" t="s">
        <v>415</v>
      </c>
      <c r="D242" t="s">
        <v>146</v>
      </c>
      <c r="E242" s="2">
        <v>1000</v>
      </c>
      <c r="F242" s="2">
        <v>5000</v>
      </c>
      <c r="G242" s="2">
        <v>2.4700000000000002</v>
      </c>
      <c r="H242" s="2">
        <v>12350</v>
      </c>
      <c r="I242" s="2" t="s">
        <v>34</v>
      </c>
      <c r="J242" s="2" t="s">
        <v>127</v>
      </c>
      <c r="K242" s="1">
        <v>45554</v>
      </c>
    </row>
    <row r="243" spans="1:11" x14ac:dyDescent="0.35">
      <c r="A243" t="s">
        <v>418</v>
      </c>
      <c r="B243" s="1">
        <v>45536</v>
      </c>
      <c r="C243" t="s">
        <v>415</v>
      </c>
      <c r="D243" t="s">
        <v>148</v>
      </c>
      <c r="E243" s="2">
        <v>1000</v>
      </c>
      <c r="F243" s="2">
        <v>6000</v>
      </c>
      <c r="G243" s="2">
        <v>3.52</v>
      </c>
      <c r="H243" s="2">
        <v>21120</v>
      </c>
      <c r="I243" s="2" t="s">
        <v>34</v>
      </c>
      <c r="J243" s="2" t="s">
        <v>127</v>
      </c>
      <c r="K243" s="1">
        <v>45552</v>
      </c>
    </row>
    <row r="244" spans="1:11" x14ac:dyDescent="0.35">
      <c r="A244" t="s">
        <v>419</v>
      </c>
      <c r="B244" s="1">
        <v>45536</v>
      </c>
      <c r="C244" t="s">
        <v>415</v>
      </c>
      <c r="D244" t="s">
        <v>150</v>
      </c>
      <c r="E244" s="2">
        <v>500</v>
      </c>
      <c r="F244" s="2">
        <v>4500</v>
      </c>
      <c r="G244" s="2">
        <v>7.04</v>
      </c>
      <c r="H244" s="2">
        <v>31680</v>
      </c>
      <c r="I244" s="2" t="s">
        <v>43</v>
      </c>
      <c r="J244" s="2" t="s">
        <v>118</v>
      </c>
      <c r="K244" s="1">
        <v>45556</v>
      </c>
    </row>
    <row r="245" spans="1:11" x14ac:dyDescent="0.35">
      <c r="A245" t="s">
        <v>420</v>
      </c>
      <c r="B245" s="1">
        <v>45536</v>
      </c>
      <c r="C245" t="s">
        <v>415</v>
      </c>
      <c r="D245" t="s">
        <v>116</v>
      </c>
      <c r="E245" s="2">
        <v>500</v>
      </c>
      <c r="F245" s="2">
        <v>11500</v>
      </c>
      <c r="G245" s="2">
        <v>6.96</v>
      </c>
      <c r="H245" s="2">
        <v>80040</v>
      </c>
      <c r="I245" s="2" t="s">
        <v>46</v>
      </c>
      <c r="J245" s="2" t="s">
        <v>118</v>
      </c>
      <c r="K245" s="1">
        <v>45551</v>
      </c>
    </row>
    <row r="246" spans="1:11" x14ac:dyDescent="0.35">
      <c r="A246" t="s">
        <v>421</v>
      </c>
      <c r="B246" s="1">
        <v>45536</v>
      </c>
      <c r="C246" t="s">
        <v>415</v>
      </c>
      <c r="D246" t="s">
        <v>119</v>
      </c>
      <c r="E246" s="2">
        <v>500</v>
      </c>
      <c r="F246" s="2">
        <v>11000</v>
      </c>
      <c r="G246" s="2">
        <v>10.15</v>
      </c>
      <c r="H246" s="2">
        <v>111650</v>
      </c>
      <c r="I246" s="2" t="s">
        <v>46</v>
      </c>
      <c r="J246" s="2" t="s">
        <v>118</v>
      </c>
      <c r="K246" s="1">
        <v>45558</v>
      </c>
    </row>
    <row r="247" spans="1:11" x14ac:dyDescent="0.35">
      <c r="A247" t="s">
        <v>422</v>
      </c>
      <c r="B247" s="1">
        <v>45536</v>
      </c>
      <c r="C247" t="s">
        <v>415</v>
      </c>
      <c r="D247" t="s">
        <v>121</v>
      </c>
      <c r="E247" s="2">
        <v>500</v>
      </c>
      <c r="F247" s="2">
        <v>9500</v>
      </c>
      <c r="G247" s="2">
        <v>4.5</v>
      </c>
      <c r="H247" s="2">
        <v>42750</v>
      </c>
      <c r="I247" s="2" t="s">
        <v>52</v>
      </c>
      <c r="J247" s="2" t="s">
        <v>118</v>
      </c>
      <c r="K247" s="1">
        <v>45556</v>
      </c>
    </row>
    <row r="248" spans="1:11" x14ac:dyDescent="0.35">
      <c r="A248" t="s">
        <v>423</v>
      </c>
      <c r="B248" s="1">
        <v>45536</v>
      </c>
      <c r="C248" t="s">
        <v>415</v>
      </c>
      <c r="D248" t="s">
        <v>123</v>
      </c>
      <c r="E248" s="2">
        <v>500</v>
      </c>
      <c r="F248" s="2">
        <v>17500</v>
      </c>
      <c r="G248" s="2">
        <v>5.12</v>
      </c>
      <c r="H248" s="2">
        <v>89600</v>
      </c>
      <c r="I248" s="2" t="s">
        <v>46</v>
      </c>
      <c r="J248" s="2" t="s">
        <v>118</v>
      </c>
      <c r="K248" s="1">
        <v>45558</v>
      </c>
    </row>
    <row r="249" spans="1:11" x14ac:dyDescent="0.35">
      <c r="A249" t="s">
        <v>424</v>
      </c>
      <c r="B249" s="1">
        <v>45536</v>
      </c>
      <c r="C249" t="s">
        <v>415</v>
      </c>
      <c r="D249" t="s">
        <v>125</v>
      </c>
      <c r="E249" s="2">
        <v>1000</v>
      </c>
      <c r="F249" s="2">
        <v>14000</v>
      </c>
      <c r="G249" s="2">
        <v>3.96</v>
      </c>
      <c r="H249" s="2">
        <v>55440</v>
      </c>
      <c r="I249" s="2" t="s">
        <v>34</v>
      </c>
      <c r="J249" s="2" t="s">
        <v>127</v>
      </c>
      <c r="K249" s="1">
        <v>45550</v>
      </c>
    </row>
    <row r="250" spans="1:11" x14ac:dyDescent="0.35">
      <c r="A250" t="s">
        <v>425</v>
      </c>
      <c r="B250" s="1">
        <v>45536</v>
      </c>
      <c r="C250" t="s">
        <v>415</v>
      </c>
      <c r="D250" t="s">
        <v>128</v>
      </c>
      <c r="E250" s="2">
        <v>1000</v>
      </c>
      <c r="F250" s="2">
        <v>14000</v>
      </c>
      <c r="G250" s="2">
        <v>3.5</v>
      </c>
      <c r="H250" s="2">
        <v>49000</v>
      </c>
      <c r="I250" s="2" t="s">
        <v>34</v>
      </c>
      <c r="J250" s="2" t="s">
        <v>127</v>
      </c>
      <c r="K250" s="1">
        <v>45548</v>
      </c>
    </row>
    <row r="251" spans="1:11" x14ac:dyDescent="0.35">
      <c r="A251" t="s">
        <v>426</v>
      </c>
      <c r="B251" s="1">
        <v>45536</v>
      </c>
      <c r="C251" t="s">
        <v>415</v>
      </c>
      <c r="D251" t="s">
        <v>130</v>
      </c>
      <c r="E251" s="2">
        <v>1000</v>
      </c>
      <c r="F251" s="2">
        <v>15000</v>
      </c>
      <c r="G251" s="2">
        <v>2.96</v>
      </c>
      <c r="H251" s="2">
        <v>44400</v>
      </c>
      <c r="I251" s="2" t="s">
        <v>34</v>
      </c>
      <c r="J251" s="2" t="s">
        <v>127</v>
      </c>
      <c r="K251" s="1">
        <v>45550</v>
      </c>
    </row>
    <row r="252" spans="1:11" x14ac:dyDescent="0.35">
      <c r="A252" t="s">
        <v>427</v>
      </c>
      <c r="B252" s="1">
        <v>45536</v>
      </c>
      <c r="C252" t="s">
        <v>415</v>
      </c>
      <c r="D252" t="s">
        <v>132</v>
      </c>
      <c r="E252" s="2">
        <v>1000</v>
      </c>
      <c r="F252" s="2">
        <v>10000</v>
      </c>
      <c r="G252" s="2">
        <v>4.8</v>
      </c>
      <c r="H252" s="2">
        <v>48000</v>
      </c>
      <c r="I252" s="2" t="s">
        <v>39</v>
      </c>
      <c r="J252" s="2" t="s">
        <v>127</v>
      </c>
      <c r="K252" s="1">
        <v>45554</v>
      </c>
    </row>
    <row r="253" spans="1:11" x14ac:dyDescent="0.35">
      <c r="A253" t="s">
        <v>428</v>
      </c>
      <c r="B253" s="1">
        <v>45536</v>
      </c>
      <c r="C253" t="s">
        <v>415</v>
      </c>
      <c r="D253" t="s">
        <v>134</v>
      </c>
      <c r="E253" s="2">
        <v>500</v>
      </c>
      <c r="F253" s="2">
        <v>11000</v>
      </c>
      <c r="G253" s="2">
        <v>5.94</v>
      </c>
      <c r="H253" s="2">
        <v>65340</v>
      </c>
      <c r="I253" s="2" t="s">
        <v>43</v>
      </c>
      <c r="J253" s="2" t="s">
        <v>118</v>
      </c>
      <c r="K253" s="1">
        <v>45553</v>
      </c>
    </row>
    <row r="254" spans="1:11" x14ac:dyDescent="0.35">
      <c r="A254" t="s">
        <v>429</v>
      </c>
      <c r="B254" s="1">
        <v>45536</v>
      </c>
      <c r="C254" t="s">
        <v>415</v>
      </c>
      <c r="D254" t="s">
        <v>136</v>
      </c>
      <c r="E254" s="2">
        <v>1000</v>
      </c>
      <c r="F254" s="2">
        <v>14000</v>
      </c>
      <c r="G254" s="2">
        <v>2.4700000000000002</v>
      </c>
      <c r="H254" s="2">
        <v>34580</v>
      </c>
      <c r="I254" s="2" t="s">
        <v>34</v>
      </c>
      <c r="J254" s="2" t="s">
        <v>127</v>
      </c>
      <c r="K254" s="1">
        <v>45554</v>
      </c>
    </row>
    <row r="255" spans="1:11" x14ac:dyDescent="0.35">
      <c r="A255" t="s">
        <v>430</v>
      </c>
      <c r="B255" s="1">
        <v>45536</v>
      </c>
      <c r="C255" t="s">
        <v>415</v>
      </c>
      <c r="D255" t="s">
        <v>138</v>
      </c>
      <c r="E255" s="2">
        <v>1000</v>
      </c>
      <c r="F255" s="2">
        <v>11000</v>
      </c>
      <c r="G255" s="2">
        <v>1.8</v>
      </c>
      <c r="H255" s="2">
        <v>19800</v>
      </c>
      <c r="I255" s="2" t="s">
        <v>34</v>
      </c>
      <c r="J255" s="2" t="s">
        <v>127</v>
      </c>
      <c r="K255" s="1">
        <v>45550</v>
      </c>
    </row>
    <row r="256" spans="1:11" x14ac:dyDescent="0.35">
      <c r="A256" t="s">
        <v>431</v>
      </c>
      <c r="B256" s="1">
        <v>45536</v>
      </c>
      <c r="C256" t="s">
        <v>415</v>
      </c>
      <c r="D256" t="s">
        <v>140</v>
      </c>
      <c r="E256" s="2">
        <v>1000</v>
      </c>
      <c r="F256" s="2">
        <v>12000</v>
      </c>
      <c r="G256" s="2">
        <v>2.85</v>
      </c>
      <c r="H256" s="2">
        <v>34200</v>
      </c>
      <c r="I256" s="2" t="s">
        <v>34</v>
      </c>
      <c r="J256" s="2" t="s">
        <v>127</v>
      </c>
      <c r="K256" s="1">
        <v>45549</v>
      </c>
    </row>
    <row r="257" spans="1:11" x14ac:dyDescent="0.35">
      <c r="A257" t="s">
        <v>432</v>
      </c>
      <c r="B257" s="1">
        <v>45566</v>
      </c>
      <c r="C257" t="s">
        <v>433</v>
      </c>
      <c r="D257" t="s">
        <v>142</v>
      </c>
      <c r="E257" s="2">
        <v>500</v>
      </c>
      <c r="F257" s="2">
        <v>6500</v>
      </c>
      <c r="G257" s="2">
        <v>10.88</v>
      </c>
      <c r="H257" s="2">
        <v>70720</v>
      </c>
      <c r="I257" s="2" t="s">
        <v>46</v>
      </c>
      <c r="J257" s="2" t="s">
        <v>118</v>
      </c>
      <c r="K257" s="1">
        <v>45581</v>
      </c>
    </row>
    <row r="258" spans="1:11" x14ac:dyDescent="0.35">
      <c r="A258" t="s">
        <v>434</v>
      </c>
      <c r="B258" s="1">
        <v>45566</v>
      </c>
      <c r="C258" t="s">
        <v>433</v>
      </c>
      <c r="D258" t="s">
        <v>144</v>
      </c>
      <c r="E258" s="2">
        <v>1000</v>
      </c>
      <c r="F258" s="2">
        <v>6000</v>
      </c>
      <c r="G258" s="2">
        <v>5.04</v>
      </c>
      <c r="H258" s="2">
        <v>30240</v>
      </c>
      <c r="I258" s="2" t="s">
        <v>39</v>
      </c>
      <c r="J258" s="2" t="s">
        <v>127</v>
      </c>
      <c r="K258" s="1">
        <v>45584</v>
      </c>
    </row>
    <row r="259" spans="1:11" x14ac:dyDescent="0.35">
      <c r="A259" t="s">
        <v>435</v>
      </c>
      <c r="B259" s="1">
        <v>45566</v>
      </c>
      <c r="C259" t="s">
        <v>433</v>
      </c>
      <c r="D259" t="s">
        <v>146</v>
      </c>
      <c r="E259" s="2">
        <v>1000</v>
      </c>
      <c r="F259" s="2">
        <v>5000</v>
      </c>
      <c r="G259" s="2">
        <v>2.4700000000000002</v>
      </c>
      <c r="H259" s="2">
        <v>12350</v>
      </c>
      <c r="I259" s="2" t="s">
        <v>34</v>
      </c>
      <c r="J259" s="2" t="s">
        <v>127</v>
      </c>
      <c r="K259" s="1">
        <v>45585</v>
      </c>
    </row>
    <row r="260" spans="1:11" x14ac:dyDescent="0.35">
      <c r="A260" t="s">
        <v>436</v>
      </c>
      <c r="B260" s="1">
        <v>45566</v>
      </c>
      <c r="C260" t="s">
        <v>433</v>
      </c>
      <c r="D260" t="s">
        <v>148</v>
      </c>
      <c r="E260" s="2">
        <v>1000</v>
      </c>
      <c r="F260" s="2">
        <v>6000</v>
      </c>
      <c r="G260" s="2">
        <v>3.52</v>
      </c>
      <c r="H260" s="2">
        <v>21120</v>
      </c>
      <c r="I260" s="2" t="s">
        <v>34</v>
      </c>
      <c r="J260" s="2" t="s">
        <v>127</v>
      </c>
      <c r="K260" s="1">
        <v>45584</v>
      </c>
    </row>
    <row r="261" spans="1:11" x14ac:dyDescent="0.35">
      <c r="A261" t="s">
        <v>437</v>
      </c>
      <c r="B261" s="1">
        <v>45566</v>
      </c>
      <c r="C261" t="s">
        <v>433</v>
      </c>
      <c r="D261" t="s">
        <v>150</v>
      </c>
      <c r="E261" s="2">
        <v>500</v>
      </c>
      <c r="F261" s="2">
        <v>4500</v>
      </c>
      <c r="G261" s="2">
        <v>7.04</v>
      </c>
      <c r="H261" s="2">
        <v>31680</v>
      </c>
      <c r="I261" s="2" t="s">
        <v>43</v>
      </c>
      <c r="J261" s="2" t="s">
        <v>118</v>
      </c>
      <c r="K261" s="1">
        <v>45588</v>
      </c>
    </row>
    <row r="262" spans="1:11" x14ac:dyDescent="0.35">
      <c r="A262" t="s">
        <v>438</v>
      </c>
      <c r="B262" s="1">
        <v>45566</v>
      </c>
      <c r="C262" t="s">
        <v>433</v>
      </c>
      <c r="D262" t="s">
        <v>116</v>
      </c>
      <c r="E262" s="2">
        <v>500</v>
      </c>
      <c r="F262" s="2">
        <v>11500</v>
      </c>
      <c r="G262" s="2">
        <v>6.96</v>
      </c>
      <c r="H262" s="2">
        <v>80040</v>
      </c>
      <c r="I262" s="2" t="s">
        <v>46</v>
      </c>
      <c r="J262" s="2" t="s">
        <v>118</v>
      </c>
      <c r="K262" s="1">
        <v>45583</v>
      </c>
    </row>
    <row r="263" spans="1:11" x14ac:dyDescent="0.35">
      <c r="A263" t="s">
        <v>439</v>
      </c>
      <c r="B263" s="1">
        <v>45566</v>
      </c>
      <c r="C263" t="s">
        <v>433</v>
      </c>
      <c r="D263" t="s">
        <v>119</v>
      </c>
      <c r="E263" s="2">
        <v>500</v>
      </c>
      <c r="F263" s="2">
        <v>11000</v>
      </c>
      <c r="G263" s="2">
        <v>10.15</v>
      </c>
      <c r="H263" s="2">
        <v>111650</v>
      </c>
      <c r="I263" s="2" t="s">
        <v>46</v>
      </c>
      <c r="J263" s="2" t="s">
        <v>118</v>
      </c>
      <c r="K263" s="1">
        <v>45589</v>
      </c>
    </row>
    <row r="264" spans="1:11" x14ac:dyDescent="0.35">
      <c r="A264" t="s">
        <v>440</v>
      </c>
      <c r="B264" s="1">
        <v>45566</v>
      </c>
      <c r="C264" t="s">
        <v>433</v>
      </c>
      <c r="D264" t="s">
        <v>121</v>
      </c>
      <c r="E264" s="2">
        <v>500</v>
      </c>
      <c r="F264" s="2">
        <v>9500</v>
      </c>
      <c r="G264" s="2">
        <v>4.5</v>
      </c>
      <c r="H264" s="2">
        <v>42750</v>
      </c>
      <c r="I264" s="2" t="s">
        <v>52</v>
      </c>
      <c r="J264" s="2" t="s">
        <v>118</v>
      </c>
      <c r="K264" s="1">
        <v>45587</v>
      </c>
    </row>
    <row r="265" spans="1:11" x14ac:dyDescent="0.35">
      <c r="A265" t="s">
        <v>441</v>
      </c>
      <c r="B265" s="1">
        <v>45566</v>
      </c>
      <c r="C265" t="s">
        <v>433</v>
      </c>
      <c r="D265" t="s">
        <v>123</v>
      </c>
      <c r="E265" s="2">
        <v>500</v>
      </c>
      <c r="F265" s="2">
        <v>17500</v>
      </c>
      <c r="G265" s="2">
        <v>5.12</v>
      </c>
      <c r="H265" s="2">
        <v>89600</v>
      </c>
      <c r="I265" s="2" t="s">
        <v>46</v>
      </c>
      <c r="J265" s="2" t="s">
        <v>118</v>
      </c>
      <c r="K265" s="1">
        <v>45588</v>
      </c>
    </row>
    <row r="266" spans="1:11" x14ac:dyDescent="0.35">
      <c r="A266" t="s">
        <v>442</v>
      </c>
      <c r="B266" s="1">
        <v>45566</v>
      </c>
      <c r="C266" t="s">
        <v>433</v>
      </c>
      <c r="D266" t="s">
        <v>125</v>
      </c>
      <c r="E266" s="2">
        <v>1000</v>
      </c>
      <c r="F266" s="2">
        <v>14000</v>
      </c>
      <c r="G266" s="2">
        <v>3.96</v>
      </c>
      <c r="H266" s="2">
        <v>55440</v>
      </c>
      <c r="I266" s="2" t="s">
        <v>34</v>
      </c>
      <c r="J266" s="2" t="s">
        <v>127</v>
      </c>
      <c r="K266" s="1">
        <v>45580</v>
      </c>
    </row>
    <row r="267" spans="1:11" x14ac:dyDescent="0.35">
      <c r="A267" t="s">
        <v>443</v>
      </c>
      <c r="B267" s="1">
        <v>45566</v>
      </c>
      <c r="C267" t="s">
        <v>433</v>
      </c>
      <c r="D267" t="s">
        <v>128</v>
      </c>
      <c r="E267" s="2">
        <v>1000</v>
      </c>
      <c r="F267" s="2">
        <v>14000</v>
      </c>
      <c r="G267" s="2">
        <v>3.5</v>
      </c>
      <c r="H267" s="2">
        <v>49000</v>
      </c>
      <c r="I267" s="2" t="s">
        <v>34</v>
      </c>
      <c r="J267" s="2" t="s">
        <v>127</v>
      </c>
      <c r="K267" s="1">
        <v>45577</v>
      </c>
    </row>
    <row r="268" spans="1:11" x14ac:dyDescent="0.35">
      <c r="A268" t="s">
        <v>444</v>
      </c>
      <c r="B268" s="1">
        <v>45566</v>
      </c>
      <c r="C268" t="s">
        <v>433</v>
      </c>
      <c r="D268" t="s">
        <v>130</v>
      </c>
      <c r="E268" s="2">
        <v>1000</v>
      </c>
      <c r="F268" s="2">
        <v>15000</v>
      </c>
      <c r="G268" s="2">
        <v>2.96</v>
      </c>
      <c r="H268" s="2">
        <v>44400</v>
      </c>
      <c r="I268" s="2" t="s">
        <v>34</v>
      </c>
      <c r="J268" s="2" t="s">
        <v>127</v>
      </c>
      <c r="K268" s="1">
        <v>45581</v>
      </c>
    </row>
    <row r="269" spans="1:11" x14ac:dyDescent="0.35">
      <c r="A269" t="s">
        <v>445</v>
      </c>
      <c r="B269" s="1">
        <v>45566</v>
      </c>
      <c r="C269" t="s">
        <v>433</v>
      </c>
      <c r="D269" t="s">
        <v>132</v>
      </c>
      <c r="E269" s="2">
        <v>1000</v>
      </c>
      <c r="F269" s="2">
        <v>10000</v>
      </c>
      <c r="G269" s="2">
        <v>4.8</v>
      </c>
      <c r="H269" s="2">
        <v>48000</v>
      </c>
      <c r="I269" s="2" t="s">
        <v>39</v>
      </c>
      <c r="J269" s="2" t="s">
        <v>127</v>
      </c>
      <c r="K269" s="1">
        <v>45584</v>
      </c>
    </row>
    <row r="270" spans="1:11" x14ac:dyDescent="0.35">
      <c r="A270" t="s">
        <v>446</v>
      </c>
      <c r="B270" s="1">
        <v>45566</v>
      </c>
      <c r="C270" t="s">
        <v>433</v>
      </c>
      <c r="D270" t="s">
        <v>134</v>
      </c>
      <c r="E270" s="2">
        <v>500</v>
      </c>
      <c r="F270" s="2">
        <v>11000</v>
      </c>
      <c r="G270" s="2">
        <v>5.94</v>
      </c>
      <c r="H270" s="2">
        <v>65340</v>
      </c>
      <c r="I270" s="2" t="s">
        <v>43</v>
      </c>
      <c r="J270" s="2" t="s">
        <v>118</v>
      </c>
      <c r="K270" s="1">
        <v>45582</v>
      </c>
    </row>
    <row r="271" spans="1:11" x14ac:dyDescent="0.35">
      <c r="A271" t="s">
        <v>447</v>
      </c>
      <c r="B271" s="1">
        <v>45566</v>
      </c>
      <c r="C271" t="s">
        <v>433</v>
      </c>
      <c r="D271" t="s">
        <v>136</v>
      </c>
      <c r="E271" s="2">
        <v>1000</v>
      </c>
      <c r="F271" s="2">
        <v>14000</v>
      </c>
      <c r="G271" s="2">
        <v>2.4700000000000002</v>
      </c>
      <c r="H271" s="2">
        <v>34580</v>
      </c>
      <c r="I271" s="2" t="s">
        <v>34</v>
      </c>
      <c r="J271" s="2" t="s">
        <v>127</v>
      </c>
      <c r="K271" s="1">
        <v>45586</v>
      </c>
    </row>
    <row r="272" spans="1:11" x14ac:dyDescent="0.35">
      <c r="A272" t="s">
        <v>448</v>
      </c>
      <c r="B272" s="1">
        <v>45566</v>
      </c>
      <c r="C272" t="s">
        <v>433</v>
      </c>
      <c r="D272" t="s">
        <v>138</v>
      </c>
      <c r="E272" s="2">
        <v>1000</v>
      </c>
      <c r="F272" s="2">
        <v>11000</v>
      </c>
      <c r="G272" s="2">
        <v>1.8</v>
      </c>
      <c r="H272" s="2">
        <v>19800</v>
      </c>
      <c r="I272" s="2" t="s">
        <v>34</v>
      </c>
      <c r="J272" s="2" t="s">
        <v>127</v>
      </c>
      <c r="K272" s="1">
        <v>45581</v>
      </c>
    </row>
    <row r="273" spans="1:11" x14ac:dyDescent="0.35">
      <c r="A273" t="s">
        <v>449</v>
      </c>
      <c r="B273" s="1">
        <v>45566</v>
      </c>
      <c r="C273" t="s">
        <v>433</v>
      </c>
      <c r="D273" t="s">
        <v>140</v>
      </c>
      <c r="E273" s="2">
        <v>1000</v>
      </c>
      <c r="F273" s="2">
        <v>12000</v>
      </c>
      <c r="G273" s="2">
        <v>2.85</v>
      </c>
      <c r="H273" s="2">
        <v>34200</v>
      </c>
      <c r="I273" s="2" t="s">
        <v>34</v>
      </c>
      <c r="J273" s="2" t="s">
        <v>127</v>
      </c>
      <c r="K273" s="1">
        <v>45580</v>
      </c>
    </row>
    <row r="274" spans="1:11" x14ac:dyDescent="0.35">
      <c r="A274" t="s">
        <v>450</v>
      </c>
      <c r="B274" s="1">
        <v>45597</v>
      </c>
      <c r="C274" t="s">
        <v>451</v>
      </c>
      <c r="D274" t="s">
        <v>142</v>
      </c>
      <c r="E274" s="2">
        <v>500</v>
      </c>
      <c r="F274" s="2">
        <v>6500</v>
      </c>
      <c r="G274" s="2">
        <v>10.88</v>
      </c>
      <c r="H274" s="2">
        <v>70720</v>
      </c>
      <c r="I274" s="2" t="s">
        <v>46</v>
      </c>
      <c r="J274" s="2" t="s">
        <v>118</v>
      </c>
      <c r="K274" s="1">
        <v>45611</v>
      </c>
    </row>
    <row r="275" spans="1:11" x14ac:dyDescent="0.35">
      <c r="A275" t="s">
        <v>452</v>
      </c>
      <c r="B275" s="1">
        <v>45597</v>
      </c>
      <c r="C275" t="s">
        <v>451</v>
      </c>
      <c r="D275" t="s">
        <v>144</v>
      </c>
      <c r="E275" s="2">
        <v>1000</v>
      </c>
      <c r="F275" s="2">
        <v>6000</v>
      </c>
      <c r="G275" s="2">
        <v>5.04</v>
      </c>
      <c r="H275" s="2">
        <v>30240</v>
      </c>
      <c r="I275" s="2" t="s">
        <v>39</v>
      </c>
      <c r="J275" s="2" t="s">
        <v>127</v>
      </c>
      <c r="K275" s="1">
        <v>45616</v>
      </c>
    </row>
    <row r="276" spans="1:11" x14ac:dyDescent="0.35">
      <c r="A276" t="s">
        <v>453</v>
      </c>
      <c r="B276" s="1">
        <v>45597</v>
      </c>
      <c r="C276" t="s">
        <v>451</v>
      </c>
      <c r="D276" t="s">
        <v>146</v>
      </c>
      <c r="E276" s="2">
        <v>1000</v>
      </c>
      <c r="F276" s="2">
        <v>5000</v>
      </c>
      <c r="G276" s="2">
        <v>2.4700000000000002</v>
      </c>
      <c r="H276" s="2">
        <v>12350</v>
      </c>
      <c r="I276" s="2" t="s">
        <v>34</v>
      </c>
      <c r="J276" s="2" t="s">
        <v>127</v>
      </c>
      <c r="K276" s="1">
        <v>45616</v>
      </c>
    </row>
    <row r="277" spans="1:11" x14ac:dyDescent="0.35">
      <c r="A277" t="s">
        <v>454</v>
      </c>
      <c r="B277" s="1">
        <v>45597</v>
      </c>
      <c r="C277" t="s">
        <v>451</v>
      </c>
      <c r="D277" t="s">
        <v>148</v>
      </c>
      <c r="E277" s="2">
        <v>1000</v>
      </c>
      <c r="F277" s="2">
        <v>6000</v>
      </c>
      <c r="G277" s="2">
        <v>3.52</v>
      </c>
      <c r="H277" s="2">
        <v>21120</v>
      </c>
      <c r="I277" s="2" t="s">
        <v>34</v>
      </c>
      <c r="J277" s="2" t="s">
        <v>127</v>
      </c>
      <c r="K277" s="1">
        <v>45613</v>
      </c>
    </row>
    <row r="278" spans="1:11" x14ac:dyDescent="0.35">
      <c r="A278" t="s">
        <v>455</v>
      </c>
      <c r="B278" s="1">
        <v>45597</v>
      </c>
      <c r="C278" t="s">
        <v>451</v>
      </c>
      <c r="D278" t="s">
        <v>150</v>
      </c>
      <c r="E278" s="2">
        <v>500</v>
      </c>
      <c r="F278" s="2">
        <v>4500</v>
      </c>
      <c r="G278" s="2">
        <v>7.04</v>
      </c>
      <c r="H278" s="2">
        <v>31680</v>
      </c>
      <c r="I278" s="2" t="s">
        <v>43</v>
      </c>
      <c r="J278" s="2" t="s">
        <v>118</v>
      </c>
      <c r="K278" s="1">
        <v>45617</v>
      </c>
    </row>
    <row r="279" spans="1:11" x14ac:dyDescent="0.35">
      <c r="A279" t="s">
        <v>456</v>
      </c>
      <c r="B279" s="1">
        <v>45597</v>
      </c>
      <c r="C279" t="s">
        <v>451</v>
      </c>
      <c r="D279" t="s">
        <v>116</v>
      </c>
      <c r="E279" s="2">
        <v>500</v>
      </c>
      <c r="F279" s="2">
        <v>11500</v>
      </c>
      <c r="G279" s="2">
        <v>6.96</v>
      </c>
      <c r="H279" s="2">
        <v>80040</v>
      </c>
      <c r="I279" s="2" t="s">
        <v>46</v>
      </c>
      <c r="J279" s="2" t="s">
        <v>118</v>
      </c>
      <c r="K279" s="1">
        <v>45614</v>
      </c>
    </row>
    <row r="280" spans="1:11" x14ac:dyDescent="0.35">
      <c r="A280" t="s">
        <v>457</v>
      </c>
      <c r="B280" s="1">
        <v>45597</v>
      </c>
      <c r="C280" t="s">
        <v>451</v>
      </c>
      <c r="D280" t="s">
        <v>119</v>
      </c>
      <c r="E280" s="2">
        <v>500</v>
      </c>
      <c r="F280" s="2">
        <v>11000</v>
      </c>
      <c r="G280" s="2">
        <v>10.15</v>
      </c>
      <c r="H280" s="2">
        <v>111650</v>
      </c>
      <c r="I280" s="2" t="s">
        <v>46</v>
      </c>
      <c r="J280" s="2" t="s">
        <v>118</v>
      </c>
      <c r="K280" s="1">
        <v>45619</v>
      </c>
    </row>
    <row r="281" spans="1:11" x14ac:dyDescent="0.35">
      <c r="A281" t="s">
        <v>458</v>
      </c>
      <c r="B281" s="1">
        <v>45597</v>
      </c>
      <c r="C281" t="s">
        <v>451</v>
      </c>
      <c r="D281" t="s">
        <v>121</v>
      </c>
      <c r="E281" s="2">
        <v>500</v>
      </c>
      <c r="F281" s="2">
        <v>9500</v>
      </c>
      <c r="G281" s="2">
        <v>4.5</v>
      </c>
      <c r="H281" s="2">
        <v>42750</v>
      </c>
      <c r="I281" s="2" t="s">
        <v>52</v>
      </c>
      <c r="J281" s="2" t="s">
        <v>118</v>
      </c>
      <c r="K281" s="1">
        <v>45618</v>
      </c>
    </row>
    <row r="282" spans="1:11" x14ac:dyDescent="0.35">
      <c r="A282" t="s">
        <v>459</v>
      </c>
      <c r="B282" s="1">
        <v>45597</v>
      </c>
      <c r="C282" t="s">
        <v>451</v>
      </c>
      <c r="D282" t="s">
        <v>123</v>
      </c>
      <c r="E282" s="2">
        <v>500</v>
      </c>
      <c r="F282" s="2">
        <v>17500</v>
      </c>
      <c r="G282" s="2">
        <v>5.12</v>
      </c>
      <c r="H282" s="2">
        <v>89600</v>
      </c>
      <c r="I282" s="2" t="s">
        <v>46</v>
      </c>
      <c r="J282" s="2" t="s">
        <v>118</v>
      </c>
      <c r="K282" s="1">
        <v>45620</v>
      </c>
    </row>
    <row r="283" spans="1:11" x14ac:dyDescent="0.35">
      <c r="A283" t="s">
        <v>460</v>
      </c>
      <c r="B283" s="1">
        <v>45597</v>
      </c>
      <c r="C283" t="s">
        <v>451</v>
      </c>
      <c r="D283" t="s">
        <v>125</v>
      </c>
      <c r="E283" s="2">
        <v>1000</v>
      </c>
      <c r="F283" s="2">
        <v>14000</v>
      </c>
      <c r="G283" s="2">
        <v>3.96</v>
      </c>
      <c r="H283" s="2">
        <v>55440</v>
      </c>
      <c r="I283" s="2" t="s">
        <v>34</v>
      </c>
      <c r="J283" s="2" t="s">
        <v>127</v>
      </c>
      <c r="K283" s="1">
        <v>45611</v>
      </c>
    </row>
    <row r="284" spans="1:11" x14ac:dyDescent="0.35">
      <c r="A284" t="s">
        <v>461</v>
      </c>
      <c r="B284" s="1">
        <v>45597</v>
      </c>
      <c r="C284" t="s">
        <v>451</v>
      </c>
      <c r="D284" t="s">
        <v>128</v>
      </c>
      <c r="E284" s="2">
        <v>1000</v>
      </c>
      <c r="F284" s="2">
        <v>14000</v>
      </c>
      <c r="G284" s="2">
        <v>3.5</v>
      </c>
      <c r="H284" s="2">
        <v>49000</v>
      </c>
      <c r="I284" s="2" t="s">
        <v>34</v>
      </c>
      <c r="J284" s="2" t="s">
        <v>127</v>
      </c>
      <c r="K284" s="1">
        <v>45608</v>
      </c>
    </row>
    <row r="285" spans="1:11" x14ac:dyDescent="0.35">
      <c r="A285" t="s">
        <v>462</v>
      </c>
      <c r="B285" s="1">
        <v>45597</v>
      </c>
      <c r="C285" t="s">
        <v>451</v>
      </c>
      <c r="D285" t="s">
        <v>130</v>
      </c>
      <c r="E285" s="2">
        <v>1000</v>
      </c>
      <c r="F285" s="2">
        <v>15000</v>
      </c>
      <c r="G285" s="2">
        <v>2.96</v>
      </c>
      <c r="H285" s="2">
        <v>44400</v>
      </c>
      <c r="I285" s="2" t="s">
        <v>34</v>
      </c>
      <c r="J285" s="2" t="s">
        <v>127</v>
      </c>
      <c r="K285" s="1">
        <v>45613</v>
      </c>
    </row>
    <row r="286" spans="1:11" x14ac:dyDescent="0.35">
      <c r="A286" t="s">
        <v>463</v>
      </c>
      <c r="B286" s="1">
        <v>45597</v>
      </c>
      <c r="C286" t="s">
        <v>451</v>
      </c>
      <c r="D286" t="s">
        <v>132</v>
      </c>
      <c r="E286" s="2">
        <v>1000</v>
      </c>
      <c r="F286" s="2">
        <v>10000</v>
      </c>
      <c r="G286" s="2">
        <v>4.8</v>
      </c>
      <c r="H286" s="2">
        <v>48000</v>
      </c>
      <c r="I286" s="2" t="s">
        <v>39</v>
      </c>
      <c r="J286" s="2" t="s">
        <v>127</v>
      </c>
      <c r="K286" s="1">
        <v>45615</v>
      </c>
    </row>
    <row r="287" spans="1:11" x14ac:dyDescent="0.35">
      <c r="A287" t="s">
        <v>464</v>
      </c>
      <c r="B287" s="1">
        <v>45597</v>
      </c>
      <c r="C287" t="s">
        <v>451</v>
      </c>
      <c r="D287" t="s">
        <v>134</v>
      </c>
      <c r="E287" s="2">
        <v>500</v>
      </c>
      <c r="F287" s="2">
        <v>11000</v>
      </c>
      <c r="G287" s="2">
        <v>5.94</v>
      </c>
      <c r="H287" s="2">
        <v>65340</v>
      </c>
      <c r="I287" s="2" t="s">
        <v>43</v>
      </c>
      <c r="J287" s="2" t="s">
        <v>118</v>
      </c>
      <c r="K287" s="1">
        <v>45613</v>
      </c>
    </row>
    <row r="288" spans="1:11" x14ac:dyDescent="0.35">
      <c r="A288" t="s">
        <v>465</v>
      </c>
      <c r="B288" s="1">
        <v>45597</v>
      </c>
      <c r="C288" t="s">
        <v>451</v>
      </c>
      <c r="D288" t="s">
        <v>136</v>
      </c>
      <c r="E288" s="2">
        <v>1000</v>
      </c>
      <c r="F288" s="2">
        <v>14000</v>
      </c>
      <c r="G288" s="2">
        <v>2.4700000000000002</v>
      </c>
      <c r="H288" s="2">
        <v>34580</v>
      </c>
      <c r="I288" s="2" t="s">
        <v>34</v>
      </c>
      <c r="J288" s="2" t="s">
        <v>127</v>
      </c>
      <c r="K288" s="1">
        <v>45615</v>
      </c>
    </row>
    <row r="289" spans="1:11" x14ac:dyDescent="0.35">
      <c r="A289" t="s">
        <v>466</v>
      </c>
      <c r="B289" s="1">
        <v>45597</v>
      </c>
      <c r="C289" t="s">
        <v>451</v>
      </c>
      <c r="D289" t="s">
        <v>138</v>
      </c>
      <c r="E289" s="2">
        <v>1000</v>
      </c>
      <c r="F289" s="2">
        <v>11000</v>
      </c>
      <c r="G289" s="2">
        <v>1.8</v>
      </c>
      <c r="H289" s="2">
        <v>19800</v>
      </c>
      <c r="I289" s="2" t="s">
        <v>34</v>
      </c>
      <c r="J289" s="2" t="s">
        <v>127</v>
      </c>
      <c r="K289" s="1">
        <v>45612</v>
      </c>
    </row>
    <row r="290" spans="1:11" x14ac:dyDescent="0.35">
      <c r="A290" t="s">
        <v>467</v>
      </c>
      <c r="B290" s="1">
        <v>45597</v>
      </c>
      <c r="C290" t="s">
        <v>451</v>
      </c>
      <c r="D290" t="s">
        <v>140</v>
      </c>
      <c r="E290" s="2">
        <v>1000</v>
      </c>
      <c r="F290" s="2">
        <v>12000</v>
      </c>
      <c r="G290" s="2">
        <v>2.85</v>
      </c>
      <c r="H290" s="2">
        <v>34200</v>
      </c>
      <c r="I290" s="2" t="s">
        <v>34</v>
      </c>
      <c r="J290" s="2" t="s">
        <v>127</v>
      </c>
      <c r="K290" s="1">
        <v>45609</v>
      </c>
    </row>
    <row r="291" spans="1:11" x14ac:dyDescent="0.35">
      <c r="A291" t="s">
        <v>468</v>
      </c>
      <c r="B291" s="1">
        <v>45627</v>
      </c>
      <c r="C291" t="s">
        <v>469</v>
      </c>
      <c r="D291" t="s">
        <v>142</v>
      </c>
      <c r="E291" s="2">
        <v>500</v>
      </c>
      <c r="F291" s="2">
        <v>6500</v>
      </c>
      <c r="G291" s="2">
        <v>10.88</v>
      </c>
      <c r="H291" s="2">
        <v>70720</v>
      </c>
      <c r="I291" s="2" t="s">
        <v>46</v>
      </c>
      <c r="J291" s="2" t="s">
        <v>118</v>
      </c>
      <c r="K291" s="1">
        <v>45643</v>
      </c>
    </row>
    <row r="292" spans="1:11" x14ac:dyDescent="0.35">
      <c r="A292" t="s">
        <v>470</v>
      </c>
      <c r="B292" s="1">
        <v>45627</v>
      </c>
      <c r="C292" t="s">
        <v>469</v>
      </c>
      <c r="D292" t="s">
        <v>144</v>
      </c>
      <c r="E292" s="2">
        <v>1000</v>
      </c>
      <c r="F292" s="2">
        <v>6000</v>
      </c>
      <c r="G292" s="2">
        <v>5.04</v>
      </c>
      <c r="H292" s="2">
        <v>30240</v>
      </c>
      <c r="I292" s="2" t="s">
        <v>39</v>
      </c>
      <c r="J292" s="2" t="s">
        <v>127</v>
      </c>
      <c r="K292" s="1">
        <v>45644</v>
      </c>
    </row>
    <row r="293" spans="1:11" x14ac:dyDescent="0.35">
      <c r="A293" t="s">
        <v>471</v>
      </c>
      <c r="B293" s="1">
        <v>45627</v>
      </c>
      <c r="C293" t="s">
        <v>469</v>
      </c>
      <c r="D293" t="s">
        <v>146</v>
      </c>
      <c r="E293" s="2">
        <v>1000</v>
      </c>
      <c r="F293" s="2">
        <v>5000</v>
      </c>
      <c r="G293" s="2">
        <v>2.4700000000000002</v>
      </c>
      <c r="H293" s="2">
        <v>12350</v>
      </c>
      <c r="I293" s="2" t="s">
        <v>34</v>
      </c>
      <c r="J293" s="2" t="s">
        <v>127</v>
      </c>
      <c r="K293" s="1">
        <v>45646</v>
      </c>
    </row>
    <row r="294" spans="1:11" x14ac:dyDescent="0.35">
      <c r="A294" t="s">
        <v>472</v>
      </c>
      <c r="B294" s="1">
        <v>45627</v>
      </c>
      <c r="C294" t="s">
        <v>469</v>
      </c>
      <c r="D294" t="s">
        <v>148</v>
      </c>
      <c r="E294" s="2">
        <v>1000</v>
      </c>
      <c r="F294" s="2">
        <v>6000</v>
      </c>
      <c r="G294" s="2">
        <v>3.52</v>
      </c>
      <c r="H294" s="2">
        <v>21120</v>
      </c>
      <c r="I294" s="2" t="s">
        <v>34</v>
      </c>
      <c r="J294" s="2" t="s">
        <v>127</v>
      </c>
      <c r="K294" s="1">
        <v>45643</v>
      </c>
    </row>
    <row r="295" spans="1:11" x14ac:dyDescent="0.35">
      <c r="A295" t="s">
        <v>473</v>
      </c>
      <c r="B295" s="1">
        <v>45627</v>
      </c>
      <c r="C295" t="s">
        <v>469</v>
      </c>
      <c r="D295" t="s">
        <v>150</v>
      </c>
      <c r="E295" s="2">
        <v>500</v>
      </c>
      <c r="F295" s="2">
        <v>4500</v>
      </c>
      <c r="G295" s="2">
        <v>7.04</v>
      </c>
      <c r="H295" s="2">
        <v>31680</v>
      </c>
      <c r="I295" s="2" t="s">
        <v>43</v>
      </c>
      <c r="J295" s="2" t="s">
        <v>118</v>
      </c>
      <c r="K295" s="1">
        <v>45649</v>
      </c>
    </row>
    <row r="296" spans="1:11" x14ac:dyDescent="0.35">
      <c r="A296" t="s">
        <v>474</v>
      </c>
      <c r="B296" s="1">
        <v>45627</v>
      </c>
      <c r="C296" t="s">
        <v>469</v>
      </c>
      <c r="D296" t="s">
        <v>116</v>
      </c>
      <c r="E296" s="2">
        <v>500</v>
      </c>
      <c r="F296" s="2">
        <v>11500</v>
      </c>
      <c r="G296" s="2">
        <v>6.96</v>
      </c>
      <c r="H296" s="2">
        <v>80040</v>
      </c>
      <c r="I296" s="2" t="s">
        <v>46</v>
      </c>
      <c r="J296" s="2" t="s">
        <v>118</v>
      </c>
      <c r="K296" s="1">
        <v>45642</v>
      </c>
    </row>
    <row r="297" spans="1:11" x14ac:dyDescent="0.35">
      <c r="A297" t="s">
        <v>475</v>
      </c>
      <c r="B297" s="1">
        <v>45627</v>
      </c>
      <c r="C297" t="s">
        <v>469</v>
      </c>
      <c r="D297" t="s">
        <v>119</v>
      </c>
      <c r="E297" s="2">
        <v>500</v>
      </c>
      <c r="F297" s="2">
        <v>11000</v>
      </c>
      <c r="G297" s="2">
        <v>10.15</v>
      </c>
      <c r="H297" s="2">
        <v>111650</v>
      </c>
      <c r="I297" s="2" t="s">
        <v>46</v>
      </c>
      <c r="J297" s="2" t="s">
        <v>118</v>
      </c>
      <c r="K297" s="1">
        <v>45650</v>
      </c>
    </row>
    <row r="298" spans="1:11" x14ac:dyDescent="0.35">
      <c r="A298" t="s">
        <v>476</v>
      </c>
      <c r="B298" s="1">
        <v>45627</v>
      </c>
      <c r="C298" t="s">
        <v>469</v>
      </c>
      <c r="D298" t="s">
        <v>121</v>
      </c>
      <c r="E298" s="2">
        <v>500</v>
      </c>
      <c r="F298" s="2">
        <v>9500</v>
      </c>
      <c r="G298" s="2">
        <v>4.5</v>
      </c>
      <c r="H298" s="2">
        <v>42750</v>
      </c>
      <c r="I298" s="2" t="s">
        <v>52</v>
      </c>
      <c r="J298" s="2" t="s">
        <v>118</v>
      </c>
      <c r="K298" s="1">
        <v>45648</v>
      </c>
    </row>
    <row r="299" spans="1:11" x14ac:dyDescent="0.35">
      <c r="A299" t="s">
        <v>477</v>
      </c>
      <c r="B299" s="1">
        <v>45627</v>
      </c>
      <c r="C299" t="s">
        <v>469</v>
      </c>
      <c r="D299" t="s">
        <v>123</v>
      </c>
      <c r="E299" s="2">
        <v>500</v>
      </c>
      <c r="F299" s="2">
        <v>17500</v>
      </c>
      <c r="G299" s="2">
        <v>5.12</v>
      </c>
      <c r="H299" s="2">
        <v>89600</v>
      </c>
      <c r="I299" s="2" t="s">
        <v>46</v>
      </c>
      <c r="J299" s="2" t="s">
        <v>118</v>
      </c>
      <c r="K299" s="1">
        <v>45648</v>
      </c>
    </row>
    <row r="300" spans="1:11" x14ac:dyDescent="0.35">
      <c r="A300" t="s">
        <v>478</v>
      </c>
      <c r="B300" s="1">
        <v>45627</v>
      </c>
      <c r="C300" t="s">
        <v>469</v>
      </c>
      <c r="D300" t="s">
        <v>125</v>
      </c>
      <c r="E300" s="2">
        <v>1000</v>
      </c>
      <c r="F300" s="2">
        <v>14000</v>
      </c>
      <c r="G300" s="2">
        <v>3.96</v>
      </c>
      <c r="H300" s="2">
        <v>55440</v>
      </c>
      <c r="I300" s="2" t="s">
        <v>34</v>
      </c>
      <c r="J300" s="2" t="s">
        <v>127</v>
      </c>
      <c r="K300" s="1">
        <v>45643</v>
      </c>
    </row>
    <row r="301" spans="1:11" x14ac:dyDescent="0.35">
      <c r="A301" t="s">
        <v>479</v>
      </c>
      <c r="B301" s="1">
        <v>45627</v>
      </c>
      <c r="C301" t="s">
        <v>469</v>
      </c>
      <c r="D301" t="s">
        <v>128</v>
      </c>
      <c r="E301" s="2">
        <v>1000</v>
      </c>
      <c r="F301" s="2">
        <v>14000</v>
      </c>
      <c r="G301" s="2">
        <v>3.5</v>
      </c>
      <c r="H301" s="2">
        <v>49000</v>
      </c>
      <c r="I301" s="2" t="s">
        <v>34</v>
      </c>
      <c r="J301" s="2" t="s">
        <v>127</v>
      </c>
      <c r="K301" s="1">
        <v>45638</v>
      </c>
    </row>
    <row r="302" spans="1:11" x14ac:dyDescent="0.35">
      <c r="A302" t="s">
        <v>480</v>
      </c>
      <c r="B302" s="1">
        <v>45627</v>
      </c>
      <c r="C302" t="s">
        <v>469</v>
      </c>
      <c r="D302" t="s">
        <v>130</v>
      </c>
      <c r="E302" s="2">
        <v>1000</v>
      </c>
      <c r="F302" s="2">
        <v>15000</v>
      </c>
      <c r="G302" s="2">
        <v>2.96</v>
      </c>
      <c r="H302" s="2">
        <v>44400</v>
      </c>
      <c r="I302" s="2" t="s">
        <v>34</v>
      </c>
      <c r="J302" s="2" t="s">
        <v>127</v>
      </c>
      <c r="K302" s="1">
        <v>45642</v>
      </c>
    </row>
    <row r="303" spans="1:11" x14ac:dyDescent="0.35">
      <c r="A303" t="s">
        <v>481</v>
      </c>
      <c r="B303" s="1">
        <v>45627</v>
      </c>
      <c r="C303" t="s">
        <v>469</v>
      </c>
      <c r="D303" t="s">
        <v>132</v>
      </c>
      <c r="E303" s="2">
        <v>1000</v>
      </c>
      <c r="F303" s="2">
        <v>10000</v>
      </c>
      <c r="G303" s="2">
        <v>4.8</v>
      </c>
      <c r="H303" s="2">
        <v>48000</v>
      </c>
      <c r="I303" s="2" t="s">
        <v>39</v>
      </c>
      <c r="J303" s="2" t="s">
        <v>127</v>
      </c>
      <c r="K303" s="1">
        <v>45647</v>
      </c>
    </row>
    <row r="304" spans="1:11" x14ac:dyDescent="0.35">
      <c r="A304" t="s">
        <v>482</v>
      </c>
      <c r="B304" s="1">
        <v>45627</v>
      </c>
      <c r="C304" t="s">
        <v>469</v>
      </c>
      <c r="D304" t="s">
        <v>134</v>
      </c>
      <c r="E304" s="2">
        <v>500</v>
      </c>
      <c r="F304" s="2">
        <v>11000</v>
      </c>
      <c r="G304" s="2">
        <v>5.94</v>
      </c>
      <c r="H304" s="2">
        <v>65340</v>
      </c>
      <c r="I304" s="2" t="s">
        <v>43</v>
      </c>
      <c r="J304" s="2" t="s">
        <v>118</v>
      </c>
      <c r="K304" s="1">
        <v>45645</v>
      </c>
    </row>
    <row r="305" spans="1:11" x14ac:dyDescent="0.35">
      <c r="A305" t="s">
        <v>483</v>
      </c>
      <c r="B305" s="1">
        <v>45627</v>
      </c>
      <c r="C305" t="s">
        <v>469</v>
      </c>
      <c r="D305" t="s">
        <v>136</v>
      </c>
      <c r="E305" s="2">
        <v>1000</v>
      </c>
      <c r="F305" s="2">
        <v>14000</v>
      </c>
      <c r="G305" s="2">
        <v>2.4700000000000002</v>
      </c>
      <c r="H305" s="2">
        <v>34580</v>
      </c>
      <c r="I305" s="2" t="s">
        <v>34</v>
      </c>
      <c r="J305" s="2" t="s">
        <v>127</v>
      </c>
      <c r="K305" s="1">
        <v>45647</v>
      </c>
    </row>
    <row r="306" spans="1:11" x14ac:dyDescent="0.35">
      <c r="A306" t="s">
        <v>484</v>
      </c>
      <c r="B306" s="1">
        <v>45627</v>
      </c>
      <c r="C306" t="s">
        <v>469</v>
      </c>
      <c r="D306" t="s">
        <v>138</v>
      </c>
      <c r="E306" s="2">
        <v>1000</v>
      </c>
      <c r="F306" s="2">
        <v>11000</v>
      </c>
      <c r="G306" s="2">
        <v>1.8</v>
      </c>
      <c r="H306" s="2">
        <v>19800</v>
      </c>
      <c r="I306" s="2" t="s">
        <v>34</v>
      </c>
      <c r="J306" s="2" t="s">
        <v>127</v>
      </c>
      <c r="K306" s="1">
        <v>45642</v>
      </c>
    </row>
    <row r="307" spans="1:11" x14ac:dyDescent="0.35">
      <c r="A307" t="s">
        <v>485</v>
      </c>
      <c r="B307" s="1">
        <v>45627</v>
      </c>
      <c r="C307" t="s">
        <v>469</v>
      </c>
      <c r="D307" t="s">
        <v>140</v>
      </c>
      <c r="E307" s="2">
        <v>1000</v>
      </c>
      <c r="F307" s="2">
        <v>12000</v>
      </c>
      <c r="G307" s="2">
        <v>2.85</v>
      </c>
      <c r="H307" s="2">
        <v>34200</v>
      </c>
      <c r="I307" s="2" t="s">
        <v>34</v>
      </c>
      <c r="J307" s="2" t="s">
        <v>127</v>
      </c>
      <c r="K307" s="1">
        <v>45640</v>
      </c>
    </row>
    <row r="308" spans="1:11" x14ac:dyDescent="0.35">
      <c r="A308" t="s">
        <v>486</v>
      </c>
      <c r="B308" s="1">
        <v>45658</v>
      </c>
      <c r="C308" t="s">
        <v>487</v>
      </c>
      <c r="D308" t="s">
        <v>142</v>
      </c>
      <c r="E308" s="2">
        <v>500</v>
      </c>
      <c r="F308" s="2">
        <v>6500</v>
      </c>
      <c r="G308" s="2">
        <v>10.88</v>
      </c>
      <c r="H308" s="2">
        <v>70720</v>
      </c>
      <c r="I308" s="2" t="s">
        <v>46</v>
      </c>
      <c r="J308" s="2" t="s">
        <v>118</v>
      </c>
      <c r="K308" s="1">
        <v>45673</v>
      </c>
    </row>
    <row r="309" spans="1:11" x14ac:dyDescent="0.35">
      <c r="A309" t="s">
        <v>488</v>
      </c>
      <c r="B309" s="1">
        <v>45658</v>
      </c>
      <c r="C309" t="s">
        <v>487</v>
      </c>
      <c r="D309" t="s">
        <v>144</v>
      </c>
      <c r="E309" s="2">
        <v>1000</v>
      </c>
      <c r="F309" s="2">
        <v>6000</v>
      </c>
      <c r="G309" s="2">
        <v>5.04</v>
      </c>
      <c r="H309" s="2">
        <v>30240</v>
      </c>
      <c r="I309" s="2" t="s">
        <v>39</v>
      </c>
      <c r="J309" s="2" t="s">
        <v>127</v>
      </c>
      <c r="K309" s="1">
        <v>45675</v>
      </c>
    </row>
    <row r="310" spans="1:11" x14ac:dyDescent="0.35">
      <c r="A310" t="s">
        <v>489</v>
      </c>
      <c r="B310" s="1">
        <v>45658</v>
      </c>
      <c r="C310" t="s">
        <v>487</v>
      </c>
      <c r="D310" t="s">
        <v>146</v>
      </c>
      <c r="E310" s="2">
        <v>1000</v>
      </c>
      <c r="F310" s="2">
        <v>5000</v>
      </c>
      <c r="G310" s="2">
        <v>2.4700000000000002</v>
      </c>
      <c r="H310" s="2">
        <v>12350</v>
      </c>
      <c r="I310" s="2" t="s">
        <v>34</v>
      </c>
      <c r="J310" s="2" t="s">
        <v>127</v>
      </c>
      <c r="K310" s="1">
        <v>45678</v>
      </c>
    </row>
    <row r="311" spans="1:11" x14ac:dyDescent="0.35">
      <c r="A311" t="s">
        <v>490</v>
      </c>
      <c r="B311" s="1">
        <v>45658</v>
      </c>
      <c r="C311" t="s">
        <v>487</v>
      </c>
      <c r="D311" t="s">
        <v>148</v>
      </c>
      <c r="E311" s="2">
        <v>1000</v>
      </c>
      <c r="F311" s="2">
        <v>6000</v>
      </c>
      <c r="G311" s="2">
        <v>3.52</v>
      </c>
      <c r="H311" s="2">
        <v>21120</v>
      </c>
      <c r="I311" s="2" t="s">
        <v>34</v>
      </c>
      <c r="J311" s="2" t="s">
        <v>127</v>
      </c>
      <c r="K311" s="1">
        <v>45676</v>
      </c>
    </row>
    <row r="312" spans="1:11" x14ac:dyDescent="0.35">
      <c r="A312" t="s">
        <v>491</v>
      </c>
      <c r="B312" s="1">
        <v>45658</v>
      </c>
      <c r="C312" t="s">
        <v>487</v>
      </c>
      <c r="D312" t="s">
        <v>150</v>
      </c>
      <c r="E312" s="2">
        <v>500</v>
      </c>
      <c r="F312" s="2">
        <v>4500</v>
      </c>
      <c r="G312" s="2">
        <v>7.04</v>
      </c>
      <c r="H312" s="2">
        <v>31680</v>
      </c>
      <c r="I312" s="2" t="s">
        <v>43</v>
      </c>
      <c r="J312" s="2" t="s">
        <v>118</v>
      </c>
      <c r="K312" s="1">
        <v>45679</v>
      </c>
    </row>
    <row r="313" spans="1:11" x14ac:dyDescent="0.35">
      <c r="A313" t="s">
        <v>492</v>
      </c>
      <c r="B313" s="1">
        <v>45658</v>
      </c>
      <c r="C313" t="s">
        <v>487</v>
      </c>
      <c r="D313" t="s">
        <v>116</v>
      </c>
      <c r="E313" s="2">
        <v>500</v>
      </c>
      <c r="F313" s="2">
        <v>11500</v>
      </c>
      <c r="G313" s="2">
        <v>6.96</v>
      </c>
      <c r="H313" s="2">
        <v>80040</v>
      </c>
      <c r="I313" s="2" t="s">
        <v>46</v>
      </c>
      <c r="J313" s="2" t="s">
        <v>118</v>
      </c>
      <c r="K313" s="1">
        <v>45673</v>
      </c>
    </row>
    <row r="314" spans="1:11" x14ac:dyDescent="0.35">
      <c r="A314" t="s">
        <v>493</v>
      </c>
      <c r="B314" s="1">
        <v>45658</v>
      </c>
      <c r="C314" t="s">
        <v>487</v>
      </c>
      <c r="D314" t="s">
        <v>119</v>
      </c>
      <c r="E314" s="2">
        <v>500</v>
      </c>
      <c r="F314" s="2">
        <v>11000</v>
      </c>
      <c r="G314" s="2">
        <v>10.15</v>
      </c>
      <c r="H314" s="2">
        <v>111650</v>
      </c>
      <c r="I314" s="2" t="s">
        <v>46</v>
      </c>
      <c r="J314" s="2" t="s">
        <v>118</v>
      </c>
      <c r="K314" s="1">
        <v>45680</v>
      </c>
    </row>
    <row r="315" spans="1:11" x14ac:dyDescent="0.35">
      <c r="A315" t="s">
        <v>494</v>
      </c>
      <c r="B315" s="1">
        <v>45658</v>
      </c>
      <c r="C315" t="s">
        <v>487</v>
      </c>
      <c r="D315" t="s">
        <v>121</v>
      </c>
      <c r="E315" s="2">
        <v>500</v>
      </c>
      <c r="F315" s="2">
        <v>9500</v>
      </c>
      <c r="G315" s="2">
        <v>4.5</v>
      </c>
      <c r="H315" s="2">
        <v>42750</v>
      </c>
      <c r="I315" s="2" t="s">
        <v>52</v>
      </c>
      <c r="J315" s="2" t="s">
        <v>118</v>
      </c>
      <c r="K315" s="1">
        <v>45678</v>
      </c>
    </row>
    <row r="316" spans="1:11" x14ac:dyDescent="0.35">
      <c r="A316" t="s">
        <v>495</v>
      </c>
      <c r="B316" s="1">
        <v>45658</v>
      </c>
      <c r="C316" t="s">
        <v>487</v>
      </c>
      <c r="D316" t="s">
        <v>123</v>
      </c>
      <c r="E316" s="2">
        <v>500</v>
      </c>
      <c r="F316" s="2">
        <v>17500</v>
      </c>
      <c r="G316" s="2">
        <v>5.12</v>
      </c>
      <c r="H316" s="2">
        <v>89600</v>
      </c>
      <c r="I316" s="2" t="s">
        <v>46</v>
      </c>
      <c r="J316" s="2" t="s">
        <v>118</v>
      </c>
      <c r="K316" s="1">
        <v>45679</v>
      </c>
    </row>
    <row r="317" spans="1:11" x14ac:dyDescent="0.35">
      <c r="A317" t="s">
        <v>496</v>
      </c>
      <c r="B317" s="1">
        <v>45658</v>
      </c>
      <c r="C317" t="s">
        <v>487</v>
      </c>
      <c r="D317" t="s">
        <v>125</v>
      </c>
      <c r="E317" s="2">
        <v>1000</v>
      </c>
      <c r="F317" s="2">
        <v>14000</v>
      </c>
      <c r="G317" s="2">
        <v>3.96</v>
      </c>
      <c r="H317" s="2">
        <v>55440</v>
      </c>
      <c r="I317" s="2" t="s">
        <v>34</v>
      </c>
      <c r="J317" s="2" t="s">
        <v>127</v>
      </c>
      <c r="K317" s="1">
        <v>45674</v>
      </c>
    </row>
    <row r="318" spans="1:11" x14ac:dyDescent="0.35">
      <c r="A318" t="s">
        <v>497</v>
      </c>
      <c r="B318" s="1">
        <v>45658</v>
      </c>
      <c r="C318" t="s">
        <v>487</v>
      </c>
      <c r="D318" t="s">
        <v>128</v>
      </c>
      <c r="E318" s="2">
        <v>1000</v>
      </c>
      <c r="F318" s="2">
        <v>14000</v>
      </c>
      <c r="G318" s="2">
        <v>3.5</v>
      </c>
      <c r="H318" s="2">
        <v>49000</v>
      </c>
      <c r="I318" s="2" t="s">
        <v>34</v>
      </c>
      <c r="J318" s="2" t="s">
        <v>127</v>
      </c>
      <c r="K318" s="1">
        <v>45671</v>
      </c>
    </row>
    <row r="319" spans="1:11" x14ac:dyDescent="0.35">
      <c r="A319" t="s">
        <v>498</v>
      </c>
      <c r="B319" s="1">
        <v>45658</v>
      </c>
      <c r="C319" t="s">
        <v>487</v>
      </c>
      <c r="D319" t="s">
        <v>130</v>
      </c>
      <c r="E319" s="2">
        <v>1000</v>
      </c>
      <c r="F319" s="2">
        <v>15000</v>
      </c>
      <c r="G319" s="2">
        <v>2.96</v>
      </c>
      <c r="H319" s="2">
        <v>44400</v>
      </c>
      <c r="I319" s="2" t="s">
        <v>34</v>
      </c>
      <c r="J319" s="2" t="s">
        <v>127</v>
      </c>
      <c r="K319" s="1">
        <v>45673</v>
      </c>
    </row>
    <row r="320" spans="1:11" x14ac:dyDescent="0.35">
      <c r="A320" t="s">
        <v>499</v>
      </c>
      <c r="B320" s="1">
        <v>45658</v>
      </c>
      <c r="C320" t="s">
        <v>487</v>
      </c>
      <c r="D320" t="s">
        <v>132</v>
      </c>
      <c r="E320" s="2">
        <v>1000</v>
      </c>
      <c r="F320" s="2">
        <v>10000</v>
      </c>
      <c r="G320" s="2">
        <v>4.8</v>
      </c>
      <c r="H320" s="2">
        <v>48000</v>
      </c>
      <c r="I320" s="2" t="s">
        <v>39</v>
      </c>
      <c r="J320" s="2" t="s">
        <v>127</v>
      </c>
      <c r="K320" s="1">
        <v>45677</v>
      </c>
    </row>
    <row r="321" spans="1:11" x14ac:dyDescent="0.35">
      <c r="A321" t="s">
        <v>500</v>
      </c>
      <c r="B321" s="1">
        <v>45658</v>
      </c>
      <c r="C321" t="s">
        <v>487</v>
      </c>
      <c r="D321" t="s">
        <v>134</v>
      </c>
      <c r="E321" s="2">
        <v>500</v>
      </c>
      <c r="F321" s="2">
        <v>11000</v>
      </c>
      <c r="G321" s="2">
        <v>5.94</v>
      </c>
      <c r="H321" s="2">
        <v>65340</v>
      </c>
      <c r="I321" s="2" t="s">
        <v>43</v>
      </c>
      <c r="J321" s="2" t="s">
        <v>118</v>
      </c>
      <c r="K321" s="1">
        <v>45675</v>
      </c>
    </row>
    <row r="322" spans="1:11" x14ac:dyDescent="0.35">
      <c r="A322" t="s">
        <v>501</v>
      </c>
      <c r="B322" s="1">
        <v>45658</v>
      </c>
      <c r="C322" t="s">
        <v>487</v>
      </c>
      <c r="D322" t="s">
        <v>136</v>
      </c>
      <c r="E322" s="2">
        <v>1000</v>
      </c>
      <c r="F322" s="2">
        <v>14000</v>
      </c>
      <c r="G322" s="2">
        <v>2.4700000000000002</v>
      </c>
      <c r="H322" s="2">
        <v>34580</v>
      </c>
      <c r="I322" s="2" t="s">
        <v>34</v>
      </c>
      <c r="J322" s="2" t="s">
        <v>127</v>
      </c>
      <c r="K322" s="1">
        <v>45676</v>
      </c>
    </row>
    <row r="323" spans="1:11" x14ac:dyDescent="0.35">
      <c r="A323" t="s">
        <v>502</v>
      </c>
      <c r="B323" s="1">
        <v>45658</v>
      </c>
      <c r="C323" t="s">
        <v>487</v>
      </c>
      <c r="D323" t="s">
        <v>138</v>
      </c>
      <c r="E323" s="2">
        <v>1000</v>
      </c>
      <c r="F323" s="2">
        <v>11000</v>
      </c>
      <c r="G323" s="2">
        <v>1.8</v>
      </c>
      <c r="H323" s="2">
        <v>19800</v>
      </c>
      <c r="I323" s="2" t="s">
        <v>34</v>
      </c>
      <c r="J323" s="2" t="s">
        <v>127</v>
      </c>
      <c r="K323" s="1">
        <v>45671</v>
      </c>
    </row>
    <row r="324" spans="1:11" x14ac:dyDescent="0.35">
      <c r="A324" t="s">
        <v>503</v>
      </c>
      <c r="B324" s="1">
        <v>45658</v>
      </c>
      <c r="C324" t="s">
        <v>487</v>
      </c>
      <c r="D324" t="s">
        <v>140</v>
      </c>
      <c r="E324" s="2">
        <v>1000</v>
      </c>
      <c r="F324" s="2">
        <v>12000</v>
      </c>
      <c r="G324" s="2">
        <v>2.85</v>
      </c>
      <c r="H324" s="2">
        <v>34200</v>
      </c>
      <c r="I324" s="2" t="s">
        <v>34</v>
      </c>
      <c r="J324" s="2" t="s">
        <v>127</v>
      </c>
      <c r="K324" s="1">
        <v>45671</v>
      </c>
    </row>
    <row r="325" spans="1:11" x14ac:dyDescent="0.35">
      <c r="A325" t="s">
        <v>504</v>
      </c>
      <c r="B325" s="1">
        <v>45689</v>
      </c>
      <c r="C325" t="s">
        <v>505</v>
      </c>
      <c r="D325" t="s">
        <v>142</v>
      </c>
      <c r="E325" s="2">
        <v>500</v>
      </c>
      <c r="F325" s="2">
        <v>6500</v>
      </c>
      <c r="G325" s="2">
        <v>10.88</v>
      </c>
      <c r="H325" s="2">
        <v>70720</v>
      </c>
      <c r="I325" s="2" t="s">
        <v>46</v>
      </c>
      <c r="J325" s="2" t="s">
        <v>118</v>
      </c>
      <c r="K325" s="1">
        <v>45705</v>
      </c>
    </row>
    <row r="326" spans="1:11" x14ac:dyDescent="0.35">
      <c r="A326" t="s">
        <v>506</v>
      </c>
      <c r="B326" s="1">
        <v>45689</v>
      </c>
      <c r="C326" t="s">
        <v>505</v>
      </c>
      <c r="D326" t="s">
        <v>144</v>
      </c>
      <c r="E326" s="2">
        <v>1000</v>
      </c>
      <c r="F326" s="2">
        <v>6000</v>
      </c>
      <c r="G326" s="2">
        <v>5.04</v>
      </c>
      <c r="H326" s="2">
        <v>30240</v>
      </c>
      <c r="I326" s="2" t="s">
        <v>39</v>
      </c>
      <c r="J326" s="2" t="s">
        <v>127</v>
      </c>
      <c r="K326" s="1">
        <v>45708</v>
      </c>
    </row>
    <row r="327" spans="1:11" x14ac:dyDescent="0.35">
      <c r="A327" t="s">
        <v>507</v>
      </c>
      <c r="B327" s="1">
        <v>45689</v>
      </c>
      <c r="C327" t="s">
        <v>505</v>
      </c>
      <c r="D327" t="s">
        <v>146</v>
      </c>
      <c r="E327" s="2">
        <v>1000</v>
      </c>
      <c r="F327" s="2">
        <v>5000</v>
      </c>
      <c r="G327" s="2">
        <v>2.4700000000000002</v>
      </c>
      <c r="H327" s="2">
        <v>12350</v>
      </c>
      <c r="I327" s="2" t="s">
        <v>34</v>
      </c>
      <c r="J327" s="2" t="s">
        <v>127</v>
      </c>
      <c r="K327" s="1">
        <v>45707</v>
      </c>
    </row>
    <row r="328" spans="1:11" x14ac:dyDescent="0.35">
      <c r="A328" t="s">
        <v>508</v>
      </c>
      <c r="B328" s="1">
        <v>45689</v>
      </c>
      <c r="C328" t="s">
        <v>505</v>
      </c>
      <c r="D328" t="s">
        <v>148</v>
      </c>
      <c r="E328" s="2">
        <v>1000</v>
      </c>
      <c r="F328" s="2">
        <v>6000</v>
      </c>
      <c r="G328" s="2">
        <v>3.52</v>
      </c>
      <c r="H328" s="2">
        <v>21120</v>
      </c>
      <c r="I328" s="2" t="s">
        <v>34</v>
      </c>
      <c r="J328" s="2" t="s">
        <v>127</v>
      </c>
      <c r="K328" s="1">
        <v>45705</v>
      </c>
    </row>
    <row r="329" spans="1:11" x14ac:dyDescent="0.35">
      <c r="A329" t="s">
        <v>509</v>
      </c>
      <c r="B329" s="1">
        <v>45689</v>
      </c>
      <c r="C329" t="s">
        <v>505</v>
      </c>
      <c r="D329" t="s">
        <v>150</v>
      </c>
      <c r="E329" s="2">
        <v>500</v>
      </c>
      <c r="F329" s="2">
        <v>4500</v>
      </c>
      <c r="G329" s="2">
        <v>7.04</v>
      </c>
      <c r="H329" s="2">
        <v>31680</v>
      </c>
      <c r="I329" s="2" t="s">
        <v>43</v>
      </c>
      <c r="J329" s="2" t="s">
        <v>118</v>
      </c>
      <c r="K329" s="1">
        <v>45711</v>
      </c>
    </row>
    <row r="330" spans="1:11" x14ac:dyDescent="0.35">
      <c r="A330" t="s">
        <v>510</v>
      </c>
      <c r="B330" s="1">
        <v>45689</v>
      </c>
      <c r="C330" t="s">
        <v>505</v>
      </c>
      <c r="D330" t="s">
        <v>116</v>
      </c>
      <c r="E330" s="2">
        <v>500</v>
      </c>
      <c r="F330" s="2">
        <v>11500</v>
      </c>
      <c r="G330" s="2">
        <v>6.96</v>
      </c>
      <c r="H330" s="2">
        <v>80040</v>
      </c>
      <c r="I330" s="2" t="s">
        <v>46</v>
      </c>
      <c r="J330" s="2" t="s">
        <v>118</v>
      </c>
      <c r="K330" s="1">
        <v>45704</v>
      </c>
    </row>
    <row r="331" spans="1:11" x14ac:dyDescent="0.35">
      <c r="A331" t="s">
        <v>511</v>
      </c>
      <c r="B331" s="1">
        <v>45689</v>
      </c>
      <c r="C331" t="s">
        <v>505</v>
      </c>
      <c r="D331" t="s">
        <v>119</v>
      </c>
      <c r="E331" s="2">
        <v>500</v>
      </c>
      <c r="F331" s="2">
        <v>11000</v>
      </c>
      <c r="G331" s="2">
        <v>10.15</v>
      </c>
      <c r="H331" s="2">
        <v>111650</v>
      </c>
      <c r="I331" s="2" t="s">
        <v>46</v>
      </c>
      <c r="J331" s="2" t="s">
        <v>118</v>
      </c>
      <c r="K331" s="1">
        <v>45712</v>
      </c>
    </row>
    <row r="332" spans="1:11" x14ac:dyDescent="0.35">
      <c r="A332" t="s">
        <v>512</v>
      </c>
      <c r="B332" s="1">
        <v>45689</v>
      </c>
      <c r="C332" t="s">
        <v>505</v>
      </c>
      <c r="D332" t="s">
        <v>121</v>
      </c>
      <c r="E332" s="2">
        <v>500</v>
      </c>
      <c r="F332" s="2">
        <v>9500</v>
      </c>
      <c r="G332" s="2">
        <v>4.5</v>
      </c>
      <c r="H332" s="2">
        <v>42750</v>
      </c>
      <c r="I332" s="2" t="s">
        <v>52</v>
      </c>
      <c r="J332" s="2" t="s">
        <v>118</v>
      </c>
      <c r="K332" s="1">
        <v>45709</v>
      </c>
    </row>
    <row r="333" spans="1:11" x14ac:dyDescent="0.35">
      <c r="A333" t="s">
        <v>513</v>
      </c>
      <c r="B333" s="1">
        <v>45689</v>
      </c>
      <c r="C333" t="s">
        <v>505</v>
      </c>
      <c r="D333" t="s">
        <v>123</v>
      </c>
      <c r="E333" s="2">
        <v>500</v>
      </c>
      <c r="F333" s="2">
        <v>17500</v>
      </c>
      <c r="G333" s="2">
        <v>5.12</v>
      </c>
      <c r="H333" s="2">
        <v>89600</v>
      </c>
      <c r="I333" s="2" t="s">
        <v>46</v>
      </c>
      <c r="J333" s="2" t="s">
        <v>118</v>
      </c>
      <c r="K333" s="1">
        <v>45710</v>
      </c>
    </row>
    <row r="334" spans="1:11" x14ac:dyDescent="0.35">
      <c r="A334" t="s">
        <v>514</v>
      </c>
      <c r="B334" s="1">
        <v>45689</v>
      </c>
      <c r="C334" t="s">
        <v>505</v>
      </c>
      <c r="D334" t="s">
        <v>125</v>
      </c>
      <c r="E334" s="2">
        <v>1000</v>
      </c>
      <c r="F334" s="2">
        <v>14000</v>
      </c>
      <c r="G334" s="2">
        <v>3.96</v>
      </c>
      <c r="H334" s="2">
        <v>55440</v>
      </c>
      <c r="I334" s="2" t="s">
        <v>34</v>
      </c>
      <c r="J334" s="2" t="s">
        <v>127</v>
      </c>
      <c r="K334" s="1">
        <v>45704</v>
      </c>
    </row>
    <row r="335" spans="1:11" x14ac:dyDescent="0.35">
      <c r="A335" t="s">
        <v>515</v>
      </c>
      <c r="B335" s="1">
        <v>45689</v>
      </c>
      <c r="C335" t="s">
        <v>505</v>
      </c>
      <c r="D335" t="s">
        <v>128</v>
      </c>
      <c r="E335" s="2">
        <v>1000</v>
      </c>
      <c r="F335" s="2">
        <v>14000</v>
      </c>
      <c r="G335" s="2">
        <v>3.5</v>
      </c>
      <c r="H335" s="2">
        <v>49000</v>
      </c>
      <c r="I335" s="2" t="s">
        <v>34</v>
      </c>
      <c r="J335" s="2" t="s">
        <v>127</v>
      </c>
      <c r="K335" s="1">
        <v>45700</v>
      </c>
    </row>
    <row r="336" spans="1:11" x14ac:dyDescent="0.35">
      <c r="A336" t="s">
        <v>516</v>
      </c>
      <c r="B336" s="1">
        <v>45689</v>
      </c>
      <c r="C336" t="s">
        <v>505</v>
      </c>
      <c r="D336" t="s">
        <v>130</v>
      </c>
      <c r="E336" s="2">
        <v>1000</v>
      </c>
      <c r="F336" s="2">
        <v>15000</v>
      </c>
      <c r="G336" s="2">
        <v>2.96</v>
      </c>
      <c r="H336" s="2">
        <v>44400</v>
      </c>
      <c r="I336" s="2" t="s">
        <v>34</v>
      </c>
      <c r="J336" s="2" t="s">
        <v>127</v>
      </c>
      <c r="K336" s="1">
        <v>45703</v>
      </c>
    </row>
    <row r="337" spans="1:11" x14ac:dyDescent="0.35">
      <c r="A337" t="s">
        <v>517</v>
      </c>
      <c r="B337" s="1">
        <v>45689</v>
      </c>
      <c r="C337" t="s">
        <v>505</v>
      </c>
      <c r="D337" t="s">
        <v>132</v>
      </c>
      <c r="E337" s="2">
        <v>1000</v>
      </c>
      <c r="F337" s="2">
        <v>10000</v>
      </c>
      <c r="G337" s="2">
        <v>4.8</v>
      </c>
      <c r="H337" s="2">
        <v>48000</v>
      </c>
      <c r="I337" s="2" t="s">
        <v>39</v>
      </c>
      <c r="J337" s="2" t="s">
        <v>127</v>
      </c>
      <c r="K337" s="1">
        <v>45708</v>
      </c>
    </row>
    <row r="338" spans="1:11" x14ac:dyDescent="0.35">
      <c r="A338" t="s">
        <v>518</v>
      </c>
      <c r="B338" s="1">
        <v>45689</v>
      </c>
      <c r="C338" t="s">
        <v>505</v>
      </c>
      <c r="D338" t="s">
        <v>134</v>
      </c>
      <c r="E338" s="2">
        <v>500</v>
      </c>
      <c r="F338" s="2">
        <v>11000</v>
      </c>
      <c r="G338" s="2">
        <v>5.94</v>
      </c>
      <c r="H338" s="2">
        <v>65340</v>
      </c>
      <c r="I338" s="2" t="s">
        <v>43</v>
      </c>
      <c r="J338" s="2" t="s">
        <v>118</v>
      </c>
      <c r="K338" s="1">
        <v>45706</v>
      </c>
    </row>
    <row r="339" spans="1:11" x14ac:dyDescent="0.35">
      <c r="A339" t="s">
        <v>519</v>
      </c>
      <c r="B339" s="1">
        <v>45689</v>
      </c>
      <c r="C339" t="s">
        <v>505</v>
      </c>
      <c r="D339" t="s">
        <v>136</v>
      </c>
      <c r="E339" s="2">
        <v>1000</v>
      </c>
      <c r="F339" s="2">
        <v>14000</v>
      </c>
      <c r="G339" s="2">
        <v>2.4700000000000002</v>
      </c>
      <c r="H339" s="2">
        <v>34580</v>
      </c>
      <c r="I339" s="2" t="s">
        <v>34</v>
      </c>
      <c r="J339" s="2" t="s">
        <v>127</v>
      </c>
      <c r="K339" s="1">
        <v>45707</v>
      </c>
    </row>
    <row r="340" spans="1:11" x14ac:dyDescent="0.35">
      <c r="A340" t="s">
        <v>520</v>
      </c>
      <c r="B340" s="1">
        <v>45689</v>
      </c>
      <c r="C340" t="s">
        <v>505</v>
      </c>
      <c r="D340" t="s">
        <v>138</v>
      </c>
      <c r="E340" s="2">
        <v>1000</v>
      </c>
      <c r="F340" s="2">
        <v>11000</v>
      </c>
      <c r="G340" s="2">
        <v>1.8</v>
      </c>
      <c r="H340" s="2">
        <v>19800</v>
      </c>
      <c r="I340" s="2" t="s">
        <v>34</v>
      </c>
      <c r="J340" s="2" t="s">
        <v>127</v>
      </c>
      <c r="K340" s="1">
        <v>45703</v>
      </c>
    </row>
    <row r="341" spans="1:11" x14ac:dyDescent="0.35">
      <c r="A341" t="s">
        <v>521</v>
      </c>
      <c r="B341" s="1">
        <v>45689</v>
      </c>
      <c r="C341" t="s">
        <v>505</v>
      </c>
      <c r="D341" t="s">
        <v>140</v>
      </c>
      <c r="E341" s="2">
        <v>1000</v>
      </c>
      <c r="F341" s="2">
        <v>12000</v>
      </c>
      <c r="G341" s="2">
        <v>2.85</v>
      </c>
      <c r="H341" s="2">
        <v>34200</v>
      </c>
      <c r="I341" s="2" t="s">
        <v>34</v>
      </c>
      <c r="J341" s="2" t="s">
        <v>127</v>
      </c>
      <c r="K341" s="1">
        <v>45703</v>
      </c>
    </row>
    <row r="342" spans="1:11" x14ac:dyDescent="0.35">
      <c r="A342" t="s">
        <v>522</v>
      </c>
      <c r="B342" s="1">
        <v>45717</v>
      </c>
      <c r="C342" t="s">
        <v>523</v>
      </c>
      <c r="D342" t="s">
        <v>142</v>
      </c>
      <c r="E342" s="2">
        <v>500</v>
      </c>
      <c r="F342" s="2">
        <v>6500</v>
      </c>
      <c r="G342" s="2">
        <v>10.88</v>
      </c>
      <c r="H342" s="2">
        <v>70720</v>
      </c>
      <c r="I342" s="2" t="s">
        <v>46</v>
      </c>
      <c r="J342" s="2" t="s">
        <v>118</v>
      </c>
      <c r="K342" s="1">
        <v>45733</v>
      </c>
    </row>
    <row r="343" spans="1:11" x14ac:dyDescent="0.35">
      <c r="A343" t="s">
        <v>524</v>
      </c>
      <c r="B343" s="1">
        <v>45717</v>
      </c>
      <c r="C343" t="s">
        <v>523</v>
      </c>
      <c r="D343" t="s">
        <v>144</v>
      </c>
      <c r="E343" s="2">
        <v>1000</v>
      </c>
      <c r="F343" s="2">
        <v>6000</v>
      </c>
      <c r="G343" s="2">
        <v>5.04</v>
      </c>
      <c r="H343" s="2">
        <v>30240</v>
      </c>
      <c r="I343" s="2" t="s">
        <v>39</v>
      </c>
      <c r="J343" s="2" t="s">
        <v>127</v>
      </c>
      <c r="K343" s="1">
        <v>45735</v>
      </c>
    </row>
    <row r="344" spans="1:11" x14ac:dyDescent="0.35">
      <c r="A344" t="s">
        <v>525</v>
      </c>
      <c r="B344" s="1">
        <v>45717</v>
      </c>
      <c r="C344" t="s">
        <v>523</v>
      </c>
      <c r="D344" t="s">
        <v>146</v>
      </c>
      <c r="E344" s="2">
        <v>1000</v>
      </c>
      <c r="F344" s="2">
        <v>5000</v>
      </c>
      <c r="G344" s="2">
        <v>2.4700000000000002</v>
      </c>
      <c r="H344" s="2">
        <v>12350</v>
      </c>
      <c r="I344" s="2" t="s">
        <v>34</v>
      </c>
      <c r="J344" s="2" t="s">
        <v>127</v>
      </c>
      <c r="K344" s="1">
        <v>45737</v>
      </c>
    </row>
    <row r="345" spans="1:11" x14ac:dyDescent="0.35">
      <c r="A345" t="s">
        <v>526</v>
      </c>
      <c r="B345" s="1">
        <v>45717</v>
      </c>
      <c r="C345" t="s">
        <v>523</v>
      </c>
      <c r="D345" t="s">
        <v>148</v>
      </c>
      <c r="E345" s="2">
        <v>1000</v>
      </c>
      <c r="F345" s="2">
        <v>6000</v>
      </c>
      <c r="G345" s="2">
        <v>3.52</v>
      </c>
      <c r="H345" s="2">
        <v>21120</v>
      </c>
      <c r="I345" s="2" t="s">
        <v>34</v>
      </c>
      <c r="J345" s="2" t="s">
        <v>127</v>
      </c>
      <c r="K345" s="1">
        <v>45735</v>
      </c>
    </row>
    <row r="346" spans="1:11" x14ac:dyDescent="0.35">
      <c r="A346" t="s">
        <v>527</v>
      </c>
      <c r="B346" s="1">
        <v>45717</v>
      </c>
      <c r="C346" t="s">
        <v>523</v>
      </c>
      <c r="D346" t="s">
        <v>150</v>
      </c>
      <c r="E346" s="2">
        <v>500</v>
      </c>
      <c r="F346" s="2">
        <v>4500</v>
      </c>
      <c r="G346" s="2">
        <v>7.04</v>
      </c>
      <c r="H346" s="2">
        <v>31680</v>
      </c>
      <c r="I346" s="2" t="s">
        <v>43</v>
      </c>
      <c r="J346" s="2" t="s">
        <v>118</v>
      </c>
      <c r="K346" s="1">
        <v>45739</v>
      </c>
    </row>
    <row r="347" spans="1:11" x14ac:dyDescent="0.35">
      <c r="A347" t="s">
        <v>528</v>
      </c>
      <c r="B347" s="1">
        <v>45717</v>
      </c>
      <c r="C347" t="s">
        <v>523</v>
      </c>
      <c r="D347" t="s">
        <v>116</v>
      </c>
      <c r="E347" s="2">
        <v>500</v>
      </c>
      <c r="F347" s="2">
        <v>11500</v>
      </c>
      <c r="G347" s="2">
        <v>6.96</v>
      </c>
      <c r="H347" s="2">
        <v>80040</v>
      </c>
      <c r="I347" s="2" t="s">
        <v>46</v>
      </c>
      <c r="J347" s="2" t="s">
        <v>118</v>
      </c>
      <c r="K347" s="1">
        <v>45732</v>
      </c>
    </row>
    <row r="348" spans="1:11" x14ac:dyDescent="0.35">
      <c r="A348" t="s">
        <v>529</v>
      </c>
      <c r="B348" s="1">
        <v>45717</v>
      </c>
      <c r="C348" t="s">
        <v>523</v>
      </c>
      <c r="D348" t="s">
        <v>119</v>
      </c>
      <c r="E348" s="2">
        <v>500</v>
      </c>
      <c r="F348" s="2">
        <v>11000</v>
      </c>
      <c r="G348" s="2">
        <v>10.15</v>
      </c>
      <c r="H348" s="2">
        <v>111650</v>
      </c>
      <c r="I348" s="2" t="s">
        <v>46</v>
      </c>
      <c r="J348" s="2" t="s">
        <v>118</v>
      </c>
      <c r="K348" s="1">
        <v>45740</v>
      </c>
    </row>
    <row r="349" spans="1:11" x14ac:dyDescent="0.35">
      <c r="A349" t="s">
        <v>530</v>
      </c>
      <c r="B349" s="1">
        <v>45717</v>
      </c>
      <c r="C349" t="s">
        <v>523</v>
      </c>
      <c r="D349" t="s">
        <v>121</v>
      </c>
      <c r="E349" s="2">
        <v>500</v>
      </c>
      <c r="F349" s="2">
        <v>9500</v>
      </c>
      <c r="G349" s="2">
        <v>4.5</v>
      </c>
      <c r="H349" s="2">
        <v>42750</v>
      </c>
      <c r="I349" s="2" t="s">
        <v>52</v>
      </c>
      <c r="J349" s="2" t="s">
        <v>118</v>
      </c>
      <c r="K349" s="1">
        <v>45738</v>
      </c>
    </row>
    <row r="350" spans="1:11" x14ac:dyDescent="0.35">
      <c r="A350" t="s">
        <v>531</v>
      </c>
      <c r="B350" s="1">
        <v>45717</v>
      </c>
      <c r="C350" t="s">
        <v>523</v>
      </c>
      <c r="D350" t="s">
        <v>123</v>
      </c>
      <c r="E350" s="2">
        <v>500</v>
      </c>
      <c r="F350" s="2">
        <v>17500</v>
      </c>
      <c r="G350" s="2">
        <v>5.12</v>
      </c>
      <c r="H350" s="2">
        <v>89600</v>
      </c>
      <c r="I350" s="2" t="s">
        <v>46</v>
      </c>
      <c r="J350" s="2" t="s">
        <v>118</v>
      </c>
      <c r="K350" s="1">
        <v>45739</v>
      </c>
    </row>
    <row r="351" spans="1:11" x14ac:dyDescent="0.35">
      <c r="A351" t="s">
        <v>532</v>
      </c>
      <c r="B351" s="1">
        <v>45717</v>
      </c>
      <c r="C351" t="s">
        <v>523</v>
      </c>
      <c r="D351" t="s">
        <v>125</v>
      </c>
      <c r="E351" s="2">
        <v>1000</v>
      </c>
      <c r="F351" s="2">
        <v>14000</v>
      </c>
      <c r="G351" s="2">
        <v>3.96</v>
      </c>
      <c r="H351" s="2">
        <v>55440</v>
      </c>
      <c r="I351" s="2" t="s">
        <v>34</v>
      </c>
      <c r="J351" s="2" t="s">
        <v>127</v>
      </c>
      <c r="K351" s="1">
        <v>45733</v>
      </c>
    </row>
    <row r="352" spans="1:11" x14ac:dyDescent="0.35">
      <c r="A352" t="s">
        <v>533</v>
      </c>
      <c r="B352" s="1">
        <v>45717</v>
      </c>
      <c r="C352" t="s">
        <v>523</v>
      </c>
      <c r="D352" t="s">
        <v>128</v>
      </c>
      <c r="E352" s="2">
        <v>1000</v>
      </c>
      <c r="F352" s="2">
        <v>14000</v>
      </c>
      <c r="G352" s="2">
        <v>3.5</v>
      </c>
      <c r="H352" s="2">
        <v>49000</v>
      </c>
      <c r="I352" s="2" t="s">
        <v>34</v>
      </c>
      <c r="J352" s="2" t="s">
        <v>127</v>
      </c>
      <c r="K352" s="1">
        <v>45728</v>
      </c>
    </row>
    <row r="353" spans="1:11" x14ac:dyDescent="0.35">
      <c r="A353" t="s">
        <v>534</v>
      </c>
      <c r="B353" s="1">
        <v>45717</v>
      </c>
      <c r="C353" t="s">
        <v>523</v>
      </c>
      <c r="D353" t="s">
        <v>130</v>
      </c>
      <c r="E353" s="2">
        <v>1000</v>
      </c>
      <c r="F353" s="2">
        <v>15000</v>
      </c>
      <c r="G353" s="2">
        <v>2.96</v>
      </c>
      <c r="H353" s="2">
        <v>44400</v>
      </c>
      <c r="I353" s="2" t="s">
        <v>34</v>
      </c>
      <c r="J353" s="2" t="s">
        <v>127</v>
      </c>
      <c r="K353" s="1">
        <v>45731</v>
      </c>
    </row>
    <row r="354" spans="1:11" x14ac:dyDescent="0.35">
      <c r="A354" t="s">
        <v>535</v>
      </c>
      <c r="B354" s="1">
        <v>45717</v>
      </c>
      <c r="C354" t="s">
        <v>523</v>
      </c>
      <c r="D354" t="s">
        <v>132</v>
      </c>
      <c r="E354" s="2">
        <v>1000</v>
      </c>
      <c r="F354" s="2">
        <v>10000</v>
      </c>
      <c r="G354" s="2">
        <v>4.8</v>
      </c>
      <c r="H354" s="2">
        <v>48000</v>
      </c>
      <c r="I354" s="2" t="s">
        <v>39</v>
      </c>
      <c r="J354" s="2" t="s">
        <v>127</v>
      </c>
      <c r="K354" s="1">
        <v>45736</v>
      </c>
    </row>
    <row r="355" spans="1:11" x14ac:dyDescent="0.35">
      <c r="A355" t="s">
        <v>536</v>
      </c>
      <c r="B355" s="1">
        <v>45717</v>
      </c>
      <c r="C355" t="s">
        <v>523</v>
      </c>
      <c r="D355" t="s">
        <v>134</v>
      </c>
      <c r="E355" s="2">
        <v>500</v>
      </c>
      <c r="F355" s="2">
        <v>11000</v>
      </c>
      <c r="G355" s="2">
        <v>5.94</v>
      </c>
      <c r="H355" s="2">
        <v>65340</v>
      </c>
      <c r="I355" s="2" t="s">
        <v>43</v>
      </c>
      <c r="J355" s="2" t="s">
        <v>118</v>
      </c>
      <c r="K355" s="1">
        <v>45733</v>
      </c>
    </row>
    <row r="356" spans="1:11" x14ac:dyDescent="0.35">
      <c r="A356" t="s">
        <v>537</v>
      </c>
      <c r="B356" s="1">
        <v>45717</v>
      </c>
      <c r="C356" t="s">
        <v>523</v>
      </c>
      <c r="D356" t="s">
        <v>136</v>
      </c>
      <c r="E356" s="2">
        <v>1000</v>
      </c>
      <c r="F356" s="2">
        <v>14000</v>
      </c>
      <c r="G356" s="2">
        <v>2.4700000000000002</v>
      </c>
      <c r="H356" s="2">
        <v>34580</v>
      </c>
      <c r="I356" s="2" t="s">
        <v>34</v>
      </c>
      <c r="J356" s="2" t="s">
        <v>127</v>
      </c>
      <c r="K356" s="1">
        <v>45735</v>
      </c>
    </row>
    <row r="357" spans="1:11" x14ac:dyDescent="0.35">
      <c r="A357" t="s">
        <v>538</v>
      </c>
      <c r="B357" s="1">
        <v>45717</v>
      </c>
      <c r="C357" t="s">
        <v>523</v>
      </c>
      <c r="D357" t="s">
        <v>138</v>
      </c>
      <c r="E357" s="2">
        <v>1000</v>
      </c>
      <c r="F357" s="2">
        <v>11000</v>
      </c>
      <c r="G357" s="2">
        <v>1.8</v>
      </c>
      <c r="H357" s="2">
        <v>19800</v>
      </c>
      <c r="I357" s="2" t="s">
        <v>34</v>
      </c>
      <c r="J357" s="2" t="s">
        <v>127</v>
      </c>
      <c r="K357" s="1">
        <v>45732</v>
      </c>
    </row>
    <row r="358" spans="1:11" x14ac:dyDescent="0.35">
      <c r="A358" t="s">
        <v>539</v>
      </c>
      <c r="B358" s="1">
        <v>45717</v>
      </c>
      <c r="C358" t="s">
        <v>523</v>
      </c>
      <c r="D358" t="s">
        <v>140</v>
      </c>
      <c r="E358" s="2">
        <v>1000</v>
      </c>
      <c r="F358" s="2">
        <v>12000</v>
      </c>
      <c r="G358" s="2">
        <v>2.85</v>
      </c>
      <c r="H358" s="2">
        <v>34200</v>
      </c>
      <c r="I358" s="2" t="s">
        <v>34</v>
      </c>
      <c r="J358" s="2" t="s">
        <v>127</v>
      </c>
      <c r="K358" s="1">
        <v>45731</v>
      </c>
    </row>
    <row r="359" spans="1:11" x14ac:dyDescent="0.35">
      <c r="A359" t="s">
        <v>540</v>
      </c>
      <c r="B359" s="1">
        <v>45748</v>
      </c>
      <c r="C359" t="s">
        <v>541</v>
      </c>
      <c r="D359" t="s">
        <v>142</v>
      </c>
      <c r="E359" s="2">
        <v>500</v>
      </c>
      <c r="F359" s="2">
        <v>6500</v>
      </c>
      <c r="G359" s="2">
        <v>10.88</v>
      </c>
      <c r="H359" s="2">
        <v>70720</v>
      </c>
      <c r="I359" s="2" t="s">
        <v>46</v>
      </c>
      <c r="J359" s="2" t="s">
        <v>118</v>
      </c>
      <c r="K359" s="1">
        <v>45762</v>
      </c>
    </row>
    <row r="360" spans="1:11" x14ac:dyDescent="0.35">
      <c r="A360" t="s">
        <v>542</v>
      </c>
      <c r="B360" s="1">
        <v>45748</v>
      </c>
      <c r="C360" t="s">
        <v>541</v>
      </c>
      <c r="D360" t="s">
        <v>144</v>
      </c>
      <c r="E360" s="2">
        <v>1000</v>
      </c>
      <c r="F360" s="2">
        <v>6000</v>
      </c>
      <c r="G360" s="2">
        <v>5.04</v>
      </c>
      <c r="H360" s="2">
        <v>30240</v>
      </c>
      <c r="I360" s="2" t="s">
        <v>39</v>
      </c>
      <c r="J360" s="2" t="s">
        <v>127</v>
      </c>
      <c r="K360" s="1">
        <v>45766</v>
      </c>
    </row>
    <row r="361" spans="1:11" x14ac:dyDescent="0.35">
      <c r="A361" t="s">
        <v>543</v>
      </c>
      <c r="B361" s="1">
        <v>45748</v>
      </c>
      <c r="C361" t="s">
        <v>541</v>
      </c>
      <c r="D361" t="s">
        <v>146</v>
      </c>
      <c r="E361" s="2">
        <v>1000</v>
      </c>
      <c r="F361" s="2">
        <v>5000</v>
      </c>
      <c r="G361" s="2">
        <v>2.4700000000000002</v>
      </c>
      <c r="H361" s="2">
        <v>12350</v>
      </c>
      <c r="I361" s="2" t="s">
        <v>34</v>
      </c>
      <c r="J361" s="2" t="s">
        <v>127</v>
      </c>
      <c r="K361" s="1">
        <v>45767</v>
      </c>
    </row>
    <row r="362" spans="1:11" x14ac:dyDescent="0.35">
      <c r="A362" t="s">
        <v>544</v>
      </c>
      <c r="B362" s="1">
        <v>45748</v>
      </c>
      <c r="C362" t="s">
        <v>541</v>
      </c>
      <c r="D362" t="s">
        <v>148</v>
      </c>
      <c r="E362" s="2">
        <v>1000</v>
      </c>
      <c r="F362" s="2">
        <v>6000</v>
      </c>
      <c r="G362" s="2">
        <v>3.52</v>
      </c>
      <c r="H362" s="2">
        <v>21120</v>
      </c>
      <c r="I362" s="2" t="s">
        <v>34</v>
      </c>
      <c r="J362" s="2" t="s">
        <v>127</v>
      </c>
      <c r="K362" s="1">
        <v>45766</v>
      </c>
    </row>
    <row r="363" spans="1:11" x14ac:dyDescent="0.35">
      <c r="A363" t="s">
        <v>545</v>
      </c>
      <c r="B363" s="1">
        <v>45748</v>
      </c>
      <c r="C363" t="s">
        <v>541</v>
      </c>
      <c r="D363" t="s">
        <v>150</v>
      </c>
      <c r="E363" s="2">
        <v>500</v>
      </c>
      <c r="F363" s="2">
        <v>4500</v>
      </c>
      <c r="G363" s="2">
        <v>7.04</v>
      </c>
      <c r="H363" s="2">
        <v>31680</v>
      </c>
      <c r="I363" s="2" t="s">
        <v>43</v>
      </c>
      <c r="J363" s="2" t="s">
        <v>118</v>
      </c>
      <c r="K363" s="1">
        <v>45768</v>
      </c>
    </row>
    <row r="364" spans="1:11" x14ac:dyDescent="0.35">
      <c r="A364" t="s">
        <v>546</v>
      </c>
      <c r="B364" s="1">
        <v>45748</v>
      </c>
      <c r="C364" t="s">
        <v>541</v>
      </c>
      <c r="D364" t="s">
        <v>116</v>
      </c>
      <c r="E364" s="2">
        <v>500</v>
      </c>
      <c r="F364" s="2">
        <v>11500</v>
      </c>
      <c r="G364" s="2">
        <v>6.96</v>
      </c>
      <c r="H364" s="2">
        <v>80040</v>
      </c>
      <c r="I364" s="2" t="s">
        <v>46</v>
      </c>
      <c r="J364" s="2" t="s">
        <v>118</v>
      </c>
      <c r="K364" s="1">
        <v>45765</v>
      </c>
    </row>
    <row r="365" spans="1:11" x14ac:dyDescent="0.35">
      <c r="A365" t="s">
        <v>547</v>
      </c>
      <c r="B365" s="1">
        <v>45748</v>
      </c>
      <c r="C365" t="s">
        <v>541</v>
      </c>
      <c r="D365" t="s">
        <v>119</v>
      </c>
      <c r="E365" s="2">
        <v>500</v>
      </c>
      <c r="F365" s="2">
        <v>11000</v>
      </c>
      <c r="G365" s="2">
        <v>10.15</v>
      </c>
      <c r="H365" s="2">
        <v>111650</v>
      </c>
      <c r="I365" s="2" t="s">
        <v>46</v>
      </c>
      <c r="J365" s="2" t="s">
        <v>118</v>
      </c>
      <c r="K365" s="1">
        <v>45770</v>
      </c>
    </row>
    <row r="366" spans="1:11" x14ac:dyDescent="0.35">
      <c r="A366" t="s">
        <v>548</v>
      </c>
      <c r="B366" s="1">
        <v>45748</v>
      </c>
      <c r="C366" t="s">
        <v>541</v>
      </c>
      <c r="D366" t="s">
        <v>121</v>
      </c>
      <c r="E366" s="2">
        <v>500</v>
      </c>
      <c r="F366" s="2">
        <v>9500</v>
      </c>
      <c r="G366" s="2">
        <v>4.5</v>
      </c>
      <c r="H366" s="2">
        <v>42750</v>
      </c>
      <c r="I366" s="2" t="s">
        <v>52</v>
      </c>
      <c r="J366" s="2" t="s">
        <v>118</v>
      </c>
      <c r="K366" s="1">
        <v>45767</v>
      </c>
    </row>
    <row r="367" spans="1:11" x14ac:dyDescent="0.35">
      <c r="A367" t="s">
        <v>549</v>
      </c>
      <c r="B367" s="1">
        <v>45748</v>
      </c>
      <c r="C367" t="s">
        <v>541</v>
      </c>
      <c r="D367" t="s">
        <v>123</v>
      </c>
      <c r="E367" s="2">
        <v>500</v>
      </c>
      <c r="F367" s="2">
        <v>17500</v>
      </c>
      <c r="G367" s="2">
        <v>5.12</v>
      </c>
      <c r="H367" s="2">
        <v>89600</v>
      </c>
      <c r="I367" s="2" t="s">
        <v>46</v>
      </c>
      <c r="J367" s="2" t="s">
        <v>118</v>
      </c>
      <c r="K367" s="1">
        <v>45771</v>
      </c>
    </row>
    <row r="368" spans="1:11" x14ac:dyDescent="0.35">
      <c r="A368" t="s">
        <v>550</v>
      </c>
      <c r="B368" s="1">
        <v>45748</v>
      </c>
      <c r="C368" t="s">
        <v>541</v>
      </c>
      <c r="D368" t="s">
        <v>125</v>
      </c>
      <c r="E368" s="2">
        <v>1000</v>
      </c>
      <c r="F368" s="2">
        <v>14000</v>
      </c>
      <c r="G368" s="2">
        <v>3.96</v>
      </c>
      <c r="H368" s="2">
        <v>55440</v>
      </c>
      <c r="I368" s="2" t="s">
        <v>34</v>
      </c>
      <c r="J368" s="2" t="s">
        <v>127</v>
      </c>
      <c r="K368" s="1">
        <v>45764</v>
      </c>
    </row>
    <row r="369" spans="1:11" x14ac:dyDescent="0.35">
      <c r="A369" t="s">
        <v>551</v>
      </c>
      <c r="B369" s="1">
        <v>45748</v>
      </c>
      <c r="C369" t="s">
        <v>541</v>
      </c>
      <c r="D369" t="s">
        <v>128</v>
      </c>
      <c r="E369" s="2">
        <v>1000</v>
      </c>
      <c r="F369" s="2">
        <v>14000</v>
      </c>
      <c r="G369" s="2">
        <v>3.5</v>
      </c>
      <c r="H369" s="2">
        <v>49000</v>
      </c>
      <c r="I369" s="2" t="s">
        <v>34</v>
      </c>
      <c r="J369" s="2" t="s">
        <v>127</v>
      </c>
      <c r="K369" s="1">
        <v>45760</v>
      </c>
    </row>
    <row r="370" spans="1:11" x14ac:dyDescent="0.35">
      <c r="A370" t="s">
        <v>552</v>
      </c>
      <c r="B370" s="1">
        <v>45748</v>
      </c>
      <c r="C370" t="s">
        <v>541</v>
      </c>
      <c r="D370" t="s">
        <v>130</v>
      </c>
      <c r="E370" s="2">
        <v>1000</v>
      </c>
      <c r="F370" s="2">
        <v>15000</v>
      </c>
      <c r="G370" s="2">
        <v>2.96</v>
      </c>
      <c r="H370" s="2">
        <v>44400</v>
      </c>
      <c r="I370" s="2" t="s">
        <v>34</v>
      </c>
      <c r="J370" s="2" t="s">
        <v>127</v>
      </c>
      <c r="K370" s="1">
        <v>45764</v>
      </c>
    </row>
    <row r="371" spans="1:11" x14ac:dyDescent="0.35">
      <c r="A371" t="s">
        <v>553</v>
      </c>
      <c r="B371" s="1">
        <v>45748</v>
      </c>
      <c r="C371" t="s">
        <v>541</v>
      </c>
      <c r="D371" t="s">
        <v>132</v>
      </c>
      <c r="E371" s="2">
        <v>1000</v>
      </c>
      <c r="F371" s="2">
        <v>10000</v>
      </c>
      <c r="G371" s="2">
        <v>4.8</v>
      </c>
      <c r="H371" s="2">
        <v>48000</v>
      </c>
      <c r="I371" s="2" t="s">
        <v>39</v>
      </c>
      <c r="J371" s="2" t="s">
        <v>127</v>
      </c>
      <c r="K371" s="1">
        <v>45767</v>
      </c>
    </row>
    <row r="372" spans="1:11" x14ac:dyDescent="0.35">
      <c r="A372" t="s">
        <v>554</v>
      </c>
      <c r="B372" s="1">
        <v>45748</v>
      </c>
      <c r="C372" t="s">
        <v>541</v>
      </c>
      <c r="D372" t="s">
        <v>134</v>
      </c>
      <c r="E372" s="2">
        <v>500</v>
      </c>
      <c r="F372" s="2">
        <v>11000</v>
      </c>
      <c r="G372" s="2">
        <v>5.94</v>
      </c>
      <c r="H372" s="2">
        <v>65340</v>
      </c>
      <c r="I372" s="2" t="s">
        <v>43</v>
      </c>
      <c r="J372" s="2" t="s">
        <v>118</v>
      </c>
      <c r="K372" s="1">
        <v>45765</v>
      </c>
    </row>
    <row r="373" spans="1:11" x14ac:dyDescent="0.35">
      <c r="A373" t="s">
        <v>555</v>
      </c>
      <c r="B373" s="1">
        <v>45748</v>
      </c>
      <c r="C373" t="s">
        <v>541</v>
      </c>
      <c r="D373" t="s">
        <v>136</v>
      </c>
      <c r="E373" s="2">
        <v>1000</v>
      </c>
      <c r="F373" s="2">
        <v>14000</v>
      </c>
      <c r="G373" s="2">
        <v>2.4700000000000002</v>
      </c>
      <c r="H373" s="2">
        <v>34580</v>
      </c>
      <c r="I373" s="2" t="s">
        <v>34</v>
      </c>
      <c r="J373" s="2" t="s">
        <v>127</v>
      </c>
      <c r="K373" s="1">
        <v>45766</v>
      </c>
    </row>
    <row r="374" spans="1:11" x14ac:dyDescent="0.35">
      <c r="A374" t="s">
        <v>556</v>
      </c>
      <c r="B374" s="1">
        <v>45748</v>
      </c>
      <c r="C374" t="s">
        <v>541</v>
      </c>
      <c r="D374" t="s">
        <v>138</v>
      </c>
      <c r="E374" s="2">
        <v>1000</v>
      </c>
      <c r="F374" s="2">
        <v>11000</v>
      </c>
      <c r="G374" s="2">
        <v>1.8</v>
      </c>
      <c r="H374" s="2">
        <v>19800</v>
      </c>
      <c r="I374" s="2" t="s">
        <v>34</v>
      </c>
      <c r="J374" s="2" t="s">
        <v>127</v>
      </c>
      <c r="K374" s="1">
        <v>45761</v>
      </c>
    </row>
    <row r="375" spans="1:11" x14ac:dyDescent="0.35">
      <c r="A375" t="s">
        <v>557</v>
      </c>
      <c r="B375" s="1">
        <v>45748</v>
      </c>
      <c r="C375" t="s">
        <v>541</v>
      </c>
      <c r="D375" t="s">
        <v>140</v>
      </c>
      <c r="E375" s="2">
        <v>1000</v>
      </c>
      <c r="F375" s="2">
        <v>12000</v>
      </c>
      <c r="G375" s="2">
        <v>2.85</v>
      </c>
      <c r="H375" s="2">
        <v>34200</v>
      </c>
      <c r="I375" s="2" t="s">
        <v>34</v>
      </c>
      <c r="J375" s="2" t="s">
        <v>127</v>
      </c>
      <c r="K375" s="1">
        <v>45762</v>
      </c>
    </row>
    <row r="376" spans="1:11" x14ac:dyDescent="0.35">
      <c r="A376" t="s">
        <v>558</v>
      </c>
      <c r="B376" s="1">
        <v>45778</v>
      </c>
      <c r="C376" t="s">
        <v>559</v>
      </c>
      <c r="D376" t="s">
        <v>142</v>
      </c>
      <c r="E376" s="2">
        <v>500</v>
      </c>
      <c r="F376" s="2">
        <v>6500</v>
      </c>
      <c r="G376" s="2">
        <v>10.88</v>
      </c>
      <c r="H376" s="2">
        <v>70720</v>
      </c>
      <c r="I376" s="2" t="s">
        <v>46</v>
      </c>
      <c r="J376" s="2" t="s">
        <v>118</v>
      </c>
      <c r="K376" s="1">
        <v>45793</v>
      </c>
    </row>
    <row r="377" spans="1:11" x14ac:dyDescent="0.35">
      <c r="A377" t="s">
        <v>560</v>
      </c>
      <c r="B377" s="1">
        <v>45778</v>
      </c>
      <c r="C377" t="s">
        <v>559</v>
      </c>
      <c r="D377" t="s">
        <v>144</v>
      </c>
      <c r="E377" s="2">
        <v>1000</v>
      </c>
      <c r="F377" s="2">
        <v>6000</v>
      </c>
      <c r="G377" s="2">
        <v>5.04</v>
      </c>
      <c r="H377" s="2">
        <v>30240</v>
      </c>
      <c r="I377" s="2" t="s">
        <v>39</v>
      </c>
      <c r="J377" s="2" t="s">
        <v>127</v>
      </c>
      <c r="K377" s="1">
        <v>45796</v>
      </c>
    </row>
    <row r="378" spans="1:11" x14ac:dyDescent="0.35">
      <c r="A378" t="s">
        <v>561</v>
      </c>
      <c r="B378" s="1">
        <v>45778</v>
      </c>
      <c r="C378" t="s">
        <v>559</v>
      </c>
      <c r="D378" t="s">
        <v>146</v>
      </c>
      <c r="E378" s="2">
        <v>1000</v>
      </c>
      <c r="F378" s="2">
        <v>5000</v>
      </c>
      <c r="G378" s="2">
        <v>2.4700000000000002</v>
      </c>
      <c r="H378" s="2">
        <v>12350</v>
      </c>
      <c r="I378" s="2" t="s">
        <v>34</v>
      </c>
      <c r="J378" s="2" t="s">
        <v>127</v>
      </c>
      <c r="K378" s="1">
        <v>45796</v>
      </c>
    </row>
    <row r="379" spans="1:11" x14ac:dyDescent="0.35">
      <c r="A379" t="s">
        <v>562</v>
      </c>
      <c r="B379" s="1">
        <v>45778</v>
      </c>
      <c r="C379" t="s">
        <v>559</v>
      </c>
      <c r="D379" t="s">
        <v>148</v>
      </c>
      <c r="E379" s="2">
        <v>1000</v>
      </c>
      <c r="F379" s="2">
        <v>6000</v>
      </c>
      <c r="G379" s="2">
        <v>3.52</v>
      </c>
      <c r="H379" s="2">
        <v>21120</v>
      </c>
      <c r="I379" s="2" t="s">
        <v>34</v>
      </c>
      <c r="J379" s="2" t="s">
        <v>127</v>
      </c>
      <c r="K379" s="1">
        <v>45794</v>
      </c>
    </row>
    <row r="380" spans="1:11" x14ac:dyDescent="0.35">
      <c r="A380" t="s">
        <v>563</v>
      </c>
      <c r="B380" s="1">
        <v>45778</v>
      </c>
      <c r="C380" t="s">
        <v>559</v>
      </c>
      <c r="D380" t="s">
        <v>150</v>
      </c>
      <c r="E380" s="2">
        <v>500</v>
      </c>
      <c r="F380" s="2">
        <v>4500</v>
      </c>
      <c r="G380" s="2">
        <v>7.04</v>
      </c>
      <c r="H380" s="2">
        <v>31680</v>
      </c>
      <c r="I380" s="2" t="s">
        <v>43</v>
      </c>
      <c r="J380" s="2" t="s">
        <v>118</v>
      </c>
      <c r="K380" s="1">
        <v>45799</v>
      </c>
    </row>
    <row r="381" spans="1:11" x14ac:dyDescent="0.35">
      <c r="A381" t="s">
        <v>564</v>
      </c>
      <c r="B381" s="1">
        <v>45778</v>
      </c>
      <c r="C381" t="s">
        <v>559</v>
      </c>
      <c r="D381" t="s">
        <v>116</v>
      </c>
      <c r="E381" s="2">
        <v>500</v>
      </c>
      <c r="F381" s="2">
        <v>11500</v>
      </c>
      <c r="G381" s="2">
        <v>6.96</v>
      </c>
      <c r="H381" s="2">
        <v>80040</v>
      </c>
      <c r="I381" s="2" t="s">
        <v>46</v>
      </c>
      <c r="J381" s="2" t="s">
        <v>118</v>
      </c>
      <c r="K381" s="1">
        <v>45793</v>
      </c>
    </row>
    <row r="382" spans="1:11" x14ac:dyDescent="0.35">
      <c r="A382" t="s">
        <v>565</v>
      </c>
      <c r="B382" s="1">
        <v>45778</v>
      </c>
      <c r="C382" t="s">
        <v>559</v>
      </c>
      <c r="D382" t="s">
        <v>119</v>
      </c>
      <c r="E382" s="2">
        <v>500</v>
      </c>
      <c r="F382" s="2">
        <v>11000</v>
      </c>
      <c r="G382" s="2">
        <v>10.15</v>
      </c>
      <c r="H382" s="2">
        <v>111650</v>
      </c>
      <c r="I382" s="2" t="s">
        <v>46</v>
      </c>
      <c r="J382" s="2" t="s">
        <v>118</v>
      </c>
      <c r="K382" s="1">
        <v>45801</v>
      </c>
    </row>
    <row r="383" spans="1:11" x14ac:dyDescent="0.35">
      <c r="A383" t="s">
        <v>566</v>
      </c>
      <c r="B383" s="1">
        <v>45778</v>
      </c>
      <c r="C383" t="s">
        <v>559</v>
      </c>
      <c r="D383" t="s">
        <v>121</v>
      </c>
      <c r="E383" s="2">
        <v>500</v>
      </c>
      <c r="F383" s="2">
        <v>9500</v>
      </c>
      <c r="G383" s="2">
        <v>4.5</v>
      </c>
      <c r="H383" s="2">
        <v>42750</v>
      </c>
      <c r="I383" s="2" t="s">
        <v>52</v>
      </c>
      <c r="J383" s="2" t="s">
        <v>118</v>
      </c>
      <c r="K383" s="1">
        <v>45798</v>
      </c>
    </row>
    <row r="384" spans="1:11" x14ac:dyDescent="0.35">
      <c r="A384" t="s">
        <v>567</v>
      </c>
      <c r="B384" s="1">
        <v>45778</v>
      </c>
      <c r="C384" t="s">
        <v>559</v>
      </c>
      <c r="D384" t="s">
        <v>123</v>
      </c>
      <c r="E384" s="2">
        <v>500</v>
      </c>
      <c r="F384" s="2">
        <v>17500</v>
      </c>
      <c r="G384" s="2">
        <v>5.12</v>
      </c>
      <c r="H384" s="2">
        <v>89600</v>
      </c>
      <c r="I384" s="2" t="s">
        <v>46</v>
      </c>
      <c r="J384" s="2" t="s">
        <v>118</v>
      </c>
      <c r="K384" s="1">
        <v>45799</v>
      </c>
    </row>
    <row r="385" spans="1:11" x14ac:dyDescent="0.35">
      <c r="A385" t="s">
        <v>568</v>
      </c>
      <c r="B385" s="1">
        <v>45778</v>
      </c>
      <c r="C385" t="s">
        <v>559</v>
      </c>
      <c r="D385" t="s">
        <v>125</v>
      </c>
      <c r="E385" s="2">
        <v>1000</v>
      </c>
      <c r="F385" s="2">
        <v>14000</v>
      </c>
      <c r="G385" s="2">
        <v>3.96</v>
      </c>
      <c r="H385" s="2">
        <v>55440</v>
      </c>
      <c r="I385" s="2" t="s">
        <v>34</v>
      </c>
      <c r="J385" s="2" t="s">
        <v>127</v>
      </c>
      <c r="K385" s="1">
        <v>45794</v>
      </c>
    </row>
    <row r="386" spans="1:11" x14ac:dyDescent="0.35">
      <c r="A386" t="s">
        <v>569</v>
      </c>
      <c r="B386" s="1">
        <v>45778</v>
      </c>
      <c r="C386" t="s">
        <v>559</v>
      </c>
      <c r="D386" t="s">
        <v>128</v>
      </c>
      <c r="E386" s="2">
        <v>1000</v>
      </c>
      <c r="F386" s="2">
        <v>14000</v>
      </c>
      <c r="G386" s="2">
        <v>3.5</v>
      </c>
      <c r="H386" s="2">
        <v>49000</v>
      </c>
      <c r="I386" s="2" t="s">
        <v>34</v>
      </c>
      <c r="J386" s="2" t="s">
        <v>127</v>
      </c>
      <c r="K386" s="1">
        <v>45790</v>
      </c>
    </row>
    <row r="387" spans="1:11" x14ac:dyDescent="0.35">
      <c r="A387" t="s">
        <v>570</v>
      </c>
      <c r="B387" s="1">
        <v>45778</v>
      </c>
      <c r="C387" t="s">
        <v>559</v>
      </c>
      <c r="D387" t="s">
        <v>130</v>
      </c>
      <c r="E387" s="2">
        <v>1000</v>
      </c>
      <c r="F387" s="2">
        <v>15000</v>
      </c>
      <c r="G387" s="2">
        <v>2.96</v>
      </c>
      <c r="H387" s="2">
        <v>44400</v>
      </c>
      <c r="I387" s="2" t="s">
        <v>34</v>
      </c>
      <c r="J387" s="2" t="s">
        <v>127</v>
      </c>
      <c r="K387" s="1">
        <v>45794</v>
      </c>
    </row>
    <row r="388" spans="1:11" x14ac:dyDescent="0.35">
      <c r="A388" t="s">
        <v>571</v>
      </c>
      <c r="B388" s="1">
        <v>45778</v>
      </c>
      <c r="C388" t="s">
        <v>559</v>
      </c>
      <c r="D388" t="s">
        <v>132</v>
      </c>
      <c r="E388" s="2">
        <v>1000</v>
      </c>
      <c r="F388" s="2">
        <v>10000</v>
      </c>
      <c r="G388" s="2">
        <v>4.8</v>
      </c>
      <c r="H388" s="2">
        <v>48000</v>
      </c>
      <c r="I388" s="2" t="s">
        <v>39</v>
      </c>
      <c r="J388" s="2" t="s">
        <v>127</v>
      </c>
      <c r="K388" s="1">
        <v>45798</v>
      </c>
    </row>
    <row r="389" spans="1:11" x14ac:dyDescent="0.35">
      <c r="A389" t="s">
        <v>572</v>
      </c>
      <c r="B389" s="1">
        <v>45778</v>
      </c>
      <c r="C389" t="s">
        <v>559</v>
      </c>
      <c r="D389" t="s">
        <v>134</v>
      </c>
      <c r="E389" s="2">
        <v>500</v>
      </c>
      <c r="F389" s="2">
        <v>11000</v>
      </c>
      <c r="G389" s="2">
        <v>5.94</v>
      </c>
      <c r="H389" s="2">
        <v>65340</v>
      </c>
      <c r="I389" s="2" t="s">
        <v>43</v>
      </c>
      <c r="J389" s="2" t="s">
        <v>118</v>
      </c>
      <c r="K389" s="1">
        <v>45795</v>
      </c>
    </row>
    <row r="390" spans="1:11" x14ac:dyDescent="0.35">
      <c r="A390" t="s">
        <v>573</v>
      </c>
      <c r="B390" s="1">
        <v>45778</v>
      </c>
      <c r="C390" t="s">
        <v>559</v>
      </c>
      <c r="D390" t="s">
        <v>136</v>
      </c>
      <c r="E390" s="2">
        <v>1000</v>
      </c>
      <c r="F390" s="2">
        <v>14000</v>
      </c>
      <c r="G390" s="2">
        <v>2.4700000000000002</v>
      </c>
      <c r="H390" s="2">
        <v>34580</v>
      </c>
      <c r="I390" s="2" t="s">
        <v>34</v>
      </c>
      <c r="J390" s="2" t="s">
        <v>127</v>
      </c>
      <c r="K390" s="1">
        <v>45798</v>
      </c>
    </row>
    <row r="391" spans="1:11" x14ac:dyDescent="0.35">
      <c r="A391" t="s">
        <v>574</v>
      </c>
      <c r="B391" s="1">
        <v>45778</v>
      </c>
      <c r="C391" t="s">
        <v>559</v>
      </c>
      <c r="D391" t="s">
        <v>138</v>
      </c>
      <c r="E391" s="2">
        <v>1000</v>
      </c>
      <c r="F391" s="2">
        <v>11000</v>
      </c>
      <c r="G391" s="2">
        <v>1.8</v>
      </c>
      <c r="H391" s="2">
        <v>19800</v>
      </c>
      <c r="I391" s="2" t="s">
        <v>34</v>
      </c>
      <c r="J391" s="2" t="s">
        <v>127</v>
      </c>
      <c r="K391" s="1">
        <v>45791</v>
      </c>
    </row>
    <row r="392" spans="1:11" x14ac:dyDescent="0.35">
      <c r="A392" t="s">
        <v>575</v>
      </c>
      <c r="B392" s="1">
        <v>45778</v>
      </c>
      <c r="C392" t="s">
        <v>559</v>
      </c>
      <c r="D392" t="s">
        <v>140</v>
      </c>
      <c r="E392" s="2">
        <v>1000</v>
      </c>
      <c r="F392" s="2">
        <v>12000</v>
      </c>
      <c r="G392" s="2">
        <v>2.85</v>
      </c>
      <c r="H392" s="2">
        <v>34200</v>
      </c>
      <c r="I392" s="2" t="s">
        <v>34</v>
      </c>
      <c r="J392" s="2" t="s">
        <v>127</v>
      </c>
      <c r="K392" s="1">
        <v>45790</v>
      </c>
    </row>
    <row r="393" spans="1:11" x14ac:dyDescent="0.35">
      <c r="A393" t="s">
        <v>576</v>
      </c>
      <c r="B393" s="1">
        <v>45809</v>
      </c>
      <c r="C393" t="s">
        <v>577</v>
      </c>
      <c r="D393" t="s">
        <v>142</v>
      </c>
      <c r="E393" s="2">
        <v>500</v>
      </c>
      <c r="F393" s="2">
        <v>6500</v>
      </c>
      <c r="G393" s="2">
        <v>10.88</v>
      </c>
      <c r="H393" s="2">
        <v>70720</v>
      </c>
      <c r="I393" s="2" t="s">
        <v>46</v>
      </c>
      <c r="J393" s="2" t="s">
        <v>118</v>
      </c>
      <c r="K393" s="1">
        <v>45823</v>
      </c>
    </row>
    <row r="394" spans="1:11" x14ac:dyDescent="0.35">
      <c r="A394" t="s">
        <v>578</v>
      </c>
      <c r="B394" s="1">
        <v>45809</v>
      </c>
      <c r="C394" t="s">
        <v>577</v>
      </c>
      <c r="D394" t="s">
        <v>144</v>
      </c>
      <c r="E394" s="2">
        <v>1000</v>
      </c>
      <c r="F394" s="2">
        <v>6000</v>
      </c>
      <c r="G394" s="2">
        <v>5.04</v>
      </c>
      <c r="H394" s="2">
        <v>30240</v>
      </c>
      <c r="I394" s="2" t="s">
        <v>39</v>
      </c>
      <c r="J394" s="2" t="s">
        <v>127</v>
      </c>
      <c r="K394" s="1">
        <v>45828</v>
      </c>
    </row>
    <row r="395" spans="1:11" x14ac:dyDescent="0.35">
      <c r="A395" t="s">
        <v>579</v>
      </c>
      <c r="B395" s="1">
        <v>45809</v>
      </c>
      <c r="C395" t="s">
        <v>577</v>
      </c>
      <c r="D395" t="s">
        <v>146</v>
      </c>
      <c r="E395" s="2">
        <v>1000</v>
      </c>
      <c r="F395" s="2">
        <v>5000</v>
      </c>
      <c r="G395" s="2">
        <v>2.4700000000000002</v>
      </c>
      <c r="H395" s="2">
        <v>12350</v>
      </c>
      <c r="I395" s="2" t="s">
        <v>34</v>
      </c>
      <c r="J395" s="2" t="s">
        <v>127</v>
      </c>
      <c r="K395" s="1">
        <v>45827</v>
      </c>
    </row>
    <row r="396" spans="1:11" x14ac:dyDescent="0.35">
      <c r="A396" t="s">
        <v>580</v>
      </c>
      <c r="B396" s="1">
        <v>45809</v>
      </c>
      <c r="C396" t="s">
        <v>577</v>
      </c>
      <c r="D396" t="s">
        <v>148</v>
      </c>
      <c r="E396" s="2">
        <v>1000</v>
      </c>
      <c r="F396" s="2">
        <v>6000</v>
      </c>
      <c r="G396" s="2">
        <v>3.52</v>
      </c>
      <c r="H396" s="2">
        <v>21120</v>
      </c>
      <c r="I396" s="2" t="s">
        <v>34</v>
      </c>
      <c r="J396" s="2" t="s">
        <v>127</v>
      </c>
      <c r="K396" s="1">
        <v>45827</v>
      </c>
    </row>
    <row r="397" spans="1:11" x14ac:dyDescent="0.35">
      <c r="A397" t="s">
        <v>581</v>
      </c>
      <c r="B397" s="1">
        <v>45809</v>
      </c>
      <c r="C397" t="s">
        <v>577</v>
      </c>
      <c r="D397" t="s">
        <v>150</v>
      </c>
      <c r="E397" s="2">
        <v>500</v>
      </c>
      <c r="F397" s="2">
        <v>4500</v>
      </c>
      <c r="G397" s="2">
        <v>7.04</v>
      </c>
      <c r="H397" s="2">
        <v>31680</v>
      </c>
      <c r="I397" s="2" t="s">
        <v>43</v>
      </c>
      <c r="J397" s="2" t="s">
        <v>118</v>
      </c>
      <c r="K397" s="1">
        <v>45829</v>
      </c>
    </row>
    <row r="398" spans="1:11" x14ac:dyDescent="0.35">
      <c r="A398" t="s">
        <v>582</v>
      </c>
      <c r="B398" s="1">
        <v>45809</v>
      </c>
      <c r="C398" t="s">
        <v>577</v>
      </c>
      <c r="D398" t="s">
        <v>116</v>
      </c>
      <c r="E398" s="2">
        <v>500</v>
      </c>
      <c r="F398" s="2">
        <v>11500</v>
      </c>
      <c r="G398" s="2">
        <v>6.96</v>
      </c>
      <c r="H398" s="2">
        <v>80040</v>
      </c>
      <c r="I398" s="2" t="s">
        <v>46</v>
      </c>
      <c r="J398" s="2" t="s">
        <v>118</v>
      </c>
      <c r="K398" s="1">
        <v>45825</v>
      </c>
    </row>
    <row r="399" spans="1:11" x14ac:dyDescent="0.35">
      <c r="A399" t="s">
        <v>583</v>
      </c>
      <c r="B399" s="1">
        <v>45809</v>
      </c>
      <c r="C399" t="s">
        <v>577</v>
      </c>
      <c r="D399" t="s">
        <v>119</v>
      </c>
      <c r="E399" s="2">
        <v>500</v>
      </c>
      <c r="F399" s="2">
        <v>11000</v>
      </c>
      <c r="G399" s="2">
        <v>10.15</v>
      </c>
      <c r="H399" s="2">
        <v>111650</v>
      </c>
      <c r="I399" s="2" t="s">
        <v>46</v>
      </c>
      <c r="J399" s="2" t="s">
        <v>118</v>
      </c>
      <c r="K399" s="1">
        <v>45832</v>
      </c>
    </row>
    <row r="400" spans="1:11" x14ac:dyDescent="0.35">
      <c r="A400" t="s">
        <v>584</v>
      </c>
      <c r="B400" s="1">
        <v>45809</v>
      </c>
      <c r="C400" t="s">
        <v>577</v>
      </c>
      <c r="D400" t="s">
        <v>121</v>
      </c>
      <c r="E400" s="2">
        <v>500</v>
      </c>
      <c r="F400" s="2">
        <v>9500</v>
      </c>
      <c r="G400" s="2">
        <v>4.5</v>
      </c>
      <c r="H400" s="2">
        <v>42750</v>
      </c>
      <c r="I400" s="2" t="s">
        <v>52</v>
      </c>
      <c r="J400" s="2" t="s">
        <v>118</v>
      </c>
      <c r="K400" s="1">
        <v>45830</v>
      </c>
    </row>
    <row r="401" spans="1:11" x14ac:dyDescent="0.35">
      <c r="A401" t="s">
        <v>585</v>
      </c>
      <c r="B401" s="1">
        <v>45809</v>
      </c>
      <c r="C401" t="s">
        <v>577</v>
      </c>
      <c r="D401" t="s">
        <v>123</v>
      </c>
      <c r="E401" s="2">
        <v>500</v>
      </c>
      <c r="F401" s="2">
        <v>17500</v>
      </c>
      <c r="G401" s="2">
        <v>5.12</v>
      </c>
      <c r="H401" s="2">
        <v>89600</v>
      </c>
      <c r="I401" s="2" t="s">
        <v>46</v>
      </c>
      <c r="J401" s="2" t="s">
        <v>118</v>
      </c>
      <c r="K401" s="1">
        <v>45830</v>
      </c>
    </row>
    <row r="402" spans="1:11" x14ac:dyDescent="0.35">
      <c r="A402" t="s">
        <v>586</v>
      </c>
      <c r="B402" s="1">
        <v>45809</v>
      </c>
      <c r="C402" t="s">
        <v>577</v>
      </c>
      <c r="D402" t="s">
        <v>125</v>
      </c>
      <c r="E402" s="2">
        <v>1000</v>
      </c>
      <c r="F402" s="2">
        <v>14000</v>
      </c>
      <c r="G402" s="2">
        <v>3.96</v>
      </c>
      <c r="H402" s="2">
        <v>55440</v>
      </c>
      <c r="I402" s="2" t="s">
        <v>34</v>
      </c>
      <c r="J402" s="2" t="s">
        <v>127</v>
      </c>
      <c r="K402" s="1">
        <v>45824</v>
      </c>
    </row>
    <row r="403" spans="1:11" x14ac:dyDescent="0.35">
      <c r="A403" t="s">
        <v>587</v>
      </c>
      <c r="B403" s="1">
        <v>45809</v>
      </c>
      <c r="C403" t="s">
        <v>577</v>
      </c>
      <c r="D403" t="s">
        <v>128</v>
      </c>
      <c r="E403" s="2">
        <v>1000</v>
      </c>
      <c r="F403" s="2">
        <v>14000</v>
      </c>
      <c r="G403" s="2">
        <v>3.5</v>
      </c>
      <c r="H403" s="2">
        <v>49000</v>
      </c>
      <c r="I403" s="2" t="s">
        <v>34</v>
      </c>
      <c r="J403" s="2" t="s">
        <v>127</v>
      </c>
      <c r="K403" s="1">
        <v>45820</v>
      </c>
    </row>
    <row r="404" spans="1:11" x14ac:dyDescent="0.35">
      <c r="A404" t="s">
        <v>588</v>
      </c>
      <c r="B404" s="1">
        <v>45809</v>
      </c>
      <c r="C404" t="s">
        <v>577</v>
      </c>
      <c r="D404" t="s">
        <v>130</v>
      </c>
      <c r="E404" s="2">
        <v>1000</v>
      </c>
      <c r="F404" s="2">
        <v>15000</v>
      </c>
      <c r="G404" s="2">
        <v>2.96</v>
      </c>
      <c r="H404" s="2">
        <v>44400</v>
      </c>
      <c r="I404" s="2" t="s">
        <v>34</v>
      </c>
      <c r="J404" s="2" t="s">
        <v>127</v>
      </c>
      <c r="K404" s="1">
        <v>45823</v>
      </c>
    </row>
    <row r="405" spans="1:11" x14ac:dyDescent="0.35">
      <c r="A405" t="s">
        <v>589</v>
      </c>
      <c r="B405" s="1">
        <v>45809</v>
      </c>
      <c r="C405" t="s">
        <v>577</v>
      </c>
      <c r="D405" t="s">
        <v>132</v>
      </c>
      <c r="E405" s="2">
        <v>1000</v>
      </c>
      <c r="F405" s="2">
        <v>10000</v>
      </c>
      <c r="G405" s="2">
        <v>4.8</v>
      </c>
      <c r="H405" s="2">
        <v>48000</v>
      </c>
      <c r="I405" s="2" t="s">
        <v>39</v>
      </c>
      <c r="J405" s="2" t="s">
        <v>127</v>
      </c>
      <c r="K405" s="1">
        <v>45828</v>
      </c>
    </row>
    <row r="406" spans="1:11" x14ac:dyDescent="0.35">
      <c r="A406" t="s">
        <v>590</v>
      </c>
      <c r="B406" s="1">
        <v>45809</v>
      </c>
      <c r="C406" t="s">
        <v>577</v>
      </c>
      <c r="D406" t="s">
        <v>134</v>
      </c>
      <c r="E406" s="2">
        <v>500</v>
      </c>
      <c r="F406" s="2">
        <v>11000</v>
      </c>
      <c r="G406" s="2">
        <v>5.94</v>
      </c>
      <c r="H406" s="2">
        <v>65340</v>
      </c>
      <c r="I406" s="2" t="s">
        <v>43</v>
      </c>
      <c r="J406" s="2" t="s">
        <v>118</v>
      </c>
      <c r="K406" s="1">
        <v>45826</v>
      </c>
    </row>
    <row r="407" spans="1:11" x14ac:dyDescent="0.35">
      <c r="A407" t="s">
        <v>591</v>
      </c>
      <c r="B407" s="1">
        <v>45809</v>
      </c>
      <c r="C407" t="s">
        <v>577</v>
      </c>
      <c r="D407" t="s">
        <v>136</v>
      </c>
      <c r="E407" s="2">
        <v>1000</v>
      </c>
      <c r="F407" s="2">
        <v>14000</v>
      </c>
      <c r="G407" s="2">
        <v>2.4700000000000002</v>
      </c>
      <c r="H407" s="2">
        <v>34580</v>
      </c>
      <c r="I407" s="2" t="s">
        <v>34</v>
      </c>
      <c r="J407" s="2" t="s">
        <v>127</v>
      </c>
      <c r="K407" s="1">
        <v>45827</v>
      </c>
    </row>
    <row r="408" spans="1:11" x14ac:dyDescent="0.35">
      <c r="A408" t="s">
        <v>592</v>
      </c>
      <c r="B408" s="1">
        <v>45809</v>
      </c>
      <c r="C408" t="s">
        <v>577</v>
      </c>
      <c r="D408" t="s">
        <v>138</v>
      </c>
      <c r="E408" s="2">
        <v>1000</v>
      </c>
      <c r="F408" s="2">
        <v>11000</v>
      </c>
      <c r="G408" s="2">
        <v>1.8</v>
      </c>
      <c r="H408" s="2">
        <v>19800</v>
      </c>
      <c r="I408" s="2" t="s">
        <v>34</v>
      </c>
      <c r="J408" s="2" t="s">
        <v>127</v>
      </c>
      <c r="K408" s="1">
        <v>45823</v>
      </c>
    </row>
    <row r="409" spans="1:11" x14ac:dyDescent="0.35">
      <c r="A409" t="s">
        <v>593</v>
      </c>
      <c r="B409" s="1">
        <v>45809</v>
      </c>
      <c r="C409" t="s">
        <v>577</v>
      </c>
      <c r="D409" t="s">
        <v>140</v>
      </c>
      <c r="E409" s="2">
        <v>1000</v>
      </c>
      <c r="F409" s="2">
        <v>12000</v>
      </c>
      <c r="G409" s="2">
        <v>2.85</v>
      </c>
      <c r="H409" s="2">
        <v>34200</v>
      </c>
      <c r="I409" s="2" t="s">
        <v>34</v>
      </c>
      <c r="J409" s="2" t="s">
        <v>127</v>
      </c>
      <c r="K409" s="1">
        <v>45821</v>
      </c>
    </row>
    <row r="410" spans="1:11" x14ac:dyDescent="0.35">
      <c r="A410" t="s">
        <v>594</v>
      </c>
      <c r="B410" s="1">
        <v>45839</v>
      </c>
      <c r="C410" t="s">
        <v>595</v>
      </c>
      <c r="D410" t="s">
        <v>142</v>
      </c>
      <c r="E410" s="2">
        <v>500</v>
      </c>
      <c r="F410" s="2">
        <v>6500</v>
      </c>
      <c r="G410" s="2">
        <v>10.88</v>
      </c>
      <c r="H410" s="2">
        <v>70720</v>
      </c>
      <c r="I410" s="2" t="s">
        <v>46</v>
      </c>
      <c r="J410" s="2" t="s">
        <v>118</v>
      </c>
      <c r="K410" s="1">
        <v>45855</v>
      </c>
    </row>
    <row r="411" spans="1:11" x14ac:dyDescent="0.35">
      <c r="A411" t="s">
        <v>596</v>
      </c>
      <c r="B411" s="1">
        <v>45839</v>
      </c>
      <c r="C411" t="s">
        <v>595</v>
      </c>
      <c r="D411" t="s">
        <v>144</v>
      </c>
      <c r="E411" s="2">
        <v>1000</v>
      </c>
      <c r="F411" s="2">
        <v>6000</v>
      </c>
      <c r="G411" s="2">
        <v>5.04</v>
      </c>
      <c r="H411" s="2">
        <v>30240</v>
      </c>
      <c r="I411" s="2" t="s">
        <v>39</v>
      </c>
      <c r="J411" s="2" t="s">
        <v>127</v>
      </c>
      <c r="K411" s="1">
        <v>45856</v>
      </c>
    </row>
    <row r="412" spans="1:11" x14ac:dyDescent="0.35">
      <c r="A412" t="s">
        <v>597</v>
      </c>
      <c r="B412" s="1">
        <v>45839</v>
      </c>
      <c r="C412" t="s">
        <v>595</v>
      </c>
      <c r="D412" t="s">
        <v>146</v>
      </c>
      <c r="E412" s="2">
        <v>1000</v>
      </c>
      <c r="F412" s="2">
        <v>5000</v>
      </c>
      <c r="G412" s="2">
        <v>2.4700000000000002</v>
      </c>
      <c r="H412" s="2">
        <v>12350</v>
      </c>
      <c r="I412" s="2" t="s">
        <v>34</v>
      </c>
      <c r="J412" s="2" t="s">
        <v>127</v>
      </c>
      <c r="K412" s="1">
        <v>45859</v>
      </c>
    </row>
    <row r="413" spans="1:11" x14ac:dyDescent="0.35">
      <c r="A413" t="s">
        <v>598</v>
      </c>
      <c r="B413" s="1">
        <v>45839</v>
      </c>
      <c r="C413" t="s">
        <v>595</v>
      </c>
      <c r="D413" t="s">
        <v>148</v>
      </c>
      <c r="E413" s="2">
        <v>1000</v>
      </c>
      <c r="F413" s="2">
        <v>6000</v>
      </c>
      <c r="G413" s="2">
        <v>3.52</v>
      </c>
      <c r="H413" s="2">
        <v>21120</v>
      </c>
      <c r="I413" s="2" t="s">
        <v>34</v>
      </c>
      <c r="J413" s="2" t="s">
        <v>127</v>
      </c>
      <c r="K413" s="1">
        <v>45855</v>
      </c>
    </row>
    <row r="414" spans="1:11" x14ac:dyDescent="0.35">
      <c r="A414" t="s">
        <v>599</v>
      </c>
      <c r="B414" s="1">
        <v>45839</v>
      </c>
      <c r="C414" t="s">
        <v>595</v>
      </c>
      <c r="D414" t="s">
        <v>150</v>
      </c>
      <c r="E414" s="2">
        <v>500</v>
      </c>
      <c r="F414" s="2">
        <v>4500</v>
      </c>
      <c r="G414" s="2">
        <v>7.04</v>
      </c>
      <c r="H414" s="2">
        <v>31680</v>
      </c>
      <c r="I414" s="2" t="s">
        <v>43</v>
      </c>
      <c r="J414" s="2" t="s">
        <v>118</v>
      </c>
      <c r="K414" s="1">
        <v>45860</v>
      </c>
    </row>
    <row r="415" spans="1:11" x14ac:dyDescent="0.35">
      <c r="A415" t="s">
        <v>600</v>
      </c>
      <c r="B415" s="1">
        <v>45839</v>
      </c>
      <c r="C415" t="s">
        <v>595</v>
      </c>
      <c r="D415" t="s">
        <v>116</v>
      </c>
      <c r="E415" s="2">
        <v>500</v>
      </c>
      <c r="F415" s="2">
        <v>11500</v>
      </c>
      <c r="G415" s="2">
        <v>6.96</v>
      </c>
      <c r="H415" s="2">
        <v>80040</v>
      </c>
      <c r="I415" s="2" t="s">
        <v>46</v>
      </c>
      <c r="J415" s="2" t="s">
        <v>118</v>
      </c>
      <c r="K415" s="1">
        <v>45856</v>
      </c>
    </row>
    <row r="416" spans="1:11" x14ac:dyDescent="0.35">
      <c r="A416" t="s">
        <v>601</v>
      </c>
      <c r="B416" s="1">
        <v>45839</v>
      </c>
      <c r="C416" t="s">
        <v>595</v>
      </c>
      <c r="D416" t="s">
        <v>119</v>
      </c>
      <c r="E416" s="2">
        <v>500</v>
      </c>
      <c r="F416" s="2">
        <v>11000</v>
      </c>
      <c r="G416" s="2">
        <v>10.15</v>
      </c>
      <c r="H416" s="2">
        <v>111650</v>
      </c>
      <c r="I416" s="2" t="s">
        <v>46</v>
      </c>
      <c r="J416" s="2" t="s">
        <v>118</v>
      </c>
      <c r="K416" s="1">
        <v>45861</v>
      </c>
    </row>
    <row r="417" spans="1:11" x14ac:dyDescent="0.35">
      <c r="A417" t="s">
        <v>602</v>
      </c>
      <c r="B417" s="1">
        <v>45839</v>
      </c>
      <c r="C417" t="s">
        <v>595</v>
      </c>
      <c r="D417" t="s">
        <v>121</v>
      </c>
      <c r="E417" s="2">
        <v>500</v>
      </c>
      <c r="F417" s="2">
        <v>9500</v>
      </c>
      <c r="G417" s="2">
        <v>4.5</v>
      </c>
      <c r="H417" s="2">
        <v>42750</v>
      </c>
      <c r="I417" s="2" t="s">
        <v>52</v>
      </c>
      <c r="J417" s="2" t="s">
        <v>118</v>
      </c>
      <c r="K417" s="1">
        <v>45860</v>
      </c>
    </row>
    <row r="418" spans="1:11" x14ac:dyDescent="0.35">
      <c r="A418" t="s">
        <v>603</v>
      </c>
      <c r="B418" s="1">
        <v>45839</v>
      </c>
      <c r="C418" t="s">
        <v>595</v>
      </c>
      <c r="D418" t="s">
        <v>123</v>
      </c>
      <c r="E418" s="2">
        <v>500</v>
      </c>
      <c r="F418" s="2">
        <v>17500</v>
      </c>
      <c r="G418" s="2">
        <v>5.12</v>
      </c>
      <c r="H418" s="2">
        <v>89600</v>
      </c>
      <c r="I418" s="2" t="s">
        <v>46</v>
      </c>
      <c r="J418" s="2" t="s">
        <v>118</v>
      </c>
      <c r="K418" s="1">
        <v>45862</v>
      </c>
    </row>
    <row r="419" spans="1:11" x14ac:dyDescent="0.35">
      <c r="A419" t="s">
        <v>604</v>
      </c>
      <c r="B419" s="1">
        <v>45839</v>
      </c>
      <c r="C419" t="s">
        <v>595</v>
      </c>
      <c r="D419" t="s">
        <v>125</v>
      </c>
      <c r="E419" s="2">
        <v>1000</v>
      </c>
      <c r="F419" s="2">
        <v>14000</v>
      </c>
      <c r="G419" s="2">
        <v>3.96</v>
      </c>
      <c r="H419" s="2">
        <v>55440</v>
      </c>
      <c r="I419" s="2" t="s">
        <v>34</v>
      </c>
      <c r="J419" s="2" t="s">
        <v>127</v>
      </c>
      <c r="K419" s="1">
        <v>45853</v>
      </c>
    </row>
    <row r="420" spans="1:11" x14ac:dyDescent="0.35">
      <c r="A420" t="s">
        <v>605</v>
      </c>
      <c r="B420" s="1">
        <v>45839</v>
      </c>
      <c r="C420" t="s">
        <v>595</v>
      </c>
      <c r="D420" t="s">
        <v>128</v>
      </c>
      <c r="E420" s="2">
        <v>1000</v>
      </c>
      <c r="F420" s="2">
        <v>14000</v>
      </c>
      <c r="G420" s="2">
        <v>3.5</v>
      </c>
      <c r="H420" s="2">
        <v>49000</v>
      </c>
      <c r="I420" s="2" t="s">
        <v>34</v>
      </c>
      <c r="J420" s="2" t="s">
        <v>127</v>
      </c>
      <c r="K420" s="1">
        <v>45850</v>
      </c>
    </row>
    <row r="421" spans="1:11" x14ac:dyDescent="0.35">
      <c r="A421" t="s">
        <v>606</v>
      </c>
      <c r="B421" s="1">
        <v>45839</v>
      </c>
      <c r="C421" t="s">
        <v>595</v>
      </c>
      <c r="D421" t="s">
        <v>130</v>
      </c>
      <c r="E421" s="2">
        <v>1000</v>
      </c>
      <c r="F421" s="2">
        <v>15000</v>
      </c>
      <c r="G421" s="2">
        <v>2.96</v>
      </c>
      <c r="H421" s="2">
        <v>44400</v>
      </c>
      <c r="I421" s="2" t="s">
        <v>34</v>
      </c>
      <c r="J421" s="2" t="s">
        <v>127</v>
      </c>
      <c r="K421" s="1">
        <v>45853</v>
      </c>
    </row>
    <row r="422" spans="1:11" x14ac:dyDescent="0.35">
      <c r="A422" t="s">
        <v>607</v>
      </c>
      <c r="B422" s="1">
        <v>45839</v>
      </c>
      <c r="C422" t="s">
        <v>595</v>
      </c>
      <c r="D422" t="s">
        <v>132</v>
      </c>
      <c r="E422" s="2">
        <v>1000</v>
      </c>
      <c r="F422" s="2">
        <v>10000</v>
      </c>
      <c r="G422" s="2">
        <v>4.8</v>
      </c>
      <c r="H422" s="2">
        <v>48000</v>
      </c>
      <c r="I422" s="2" t="s">
        <v>39</v>
      </c>
      <c r="J422" s="2" t="s">
        <v>127</v>
      </c>
      <c r="K422" s="1">
        <v>45857</v>
      </c>
    </row>
    <row r="423" spans="1:11" x14ac:dyDescent="0.35">
      <c r="A423" t="s">
        <v>608</v>
      </c>
      <c r="B423" s="1">
        <v>45839</v>
      </c>
      <c r="C423" t="s">
        <v>595</v>
      </c>
      <c r="D423" t="s">
        <v>134</v>
      </c>
      <c r="E423" s="2">
        <v>500</v>
      </c>
      <c r="F423" s="2">
        <v>11000</v>
      </c>
      <c r="G423" s="2">
        <v>5.94</v>
      </c>
      <c r="H423" s="2">
        <v>65340</v>
      </c>
      <c r="I423" s="2" t="s">
        <v>43</v>
      </c>
      <c r="J423" s="2" t="s">
        <v>118</v>
      </c>
      <c r="K423" s="1">
        <v>45856</v>
      </c>
    </row>
    <row r="424" spans="1:11" x14ac:dyDescent="0.35">
      <c r="A424" t="s">
        <v>609</v>
      </c>
      <c r="B424" s="1">
        <v>45839</v>
      </c>
      <c r="C424" t="s">
        <v>595</v>
      </c>
      <c r="D424" t="s">
        <v>136</v>
      </c>
      <c r="E424" s="2">
        <v>1000</v>
      </c>
      <c r="F424" s="2">
        <v>14000</v>
      </c>
      <c r="G424" s="2">
        <v>2.4700000000000002</v>
      </c>
      <c r="H424" s="2">
        <v>34580</v>
      </c>
      <c r="I424" s="2" t="s">
        <v>34</v>
      </c>
      <c r="J424" s="2" t="s">
        <v>127</v>
      </c>
      <c r="K424" s="1">
        <v>45857</v>
      </c>
    </row>
    <row r="425" spans="1:11" x14ac:dyDescent="0.35">
      <c r="A425" t="s">
        <v>610</v>
      </c>
      <c r="B425" s="1">
        <v>45839</v>
      </c>
      <c r="C425" t="s">
        <v>595</v>
      </c>
      <c r="D425" t="s">
        <v>138</v>
      </c>
      <c r="E425" s="2">
        <v>1000</v>
      </c>
      <c r="F425" s="2">
        <v>11000</v>
      </c>
      <c r="G425" s="2">
        <v>1.8</v>
      </c>
      <c r="H425" s="2">
        <v>19800</v>
      </c>
      <c r="I425" s="2" t="s">
        <v>34</v>
      </c>
      <c r="J425" s="2" t="s">
        <v>127</v>
      </c>
      <c r="K425" s="1">
        <v>45852</v>
      </c>
    </row>
    <row r="426" spans="1:11" x14ac:dyDescent="0.35">
      <c r="A426" t="s">
        <v>611</v>
      </c>
      <c r="B426" s="1">
        <v>45839</v>
      </c>
      <c r="C426" t="s">
        <v>595</v>
      </c>
      <c r="D426" t="s">
        <v>140</v>
      </c>
      <c r="E426" s="2">
        <v>1000</v>
      </c>
      <c r="F426" s="2">
        <v>12000</v>
      </c>
      <c r="G426" s="2">
        <v>2.85</v>
      </c>
      <c r="H426" s="2">
        <v>34200</v>
      </c>
      <c r="I426" s="2" t="s">
        <v>34</v>
      </c>
      <c r="J426" s="2" t="s">
        <v>127</v>
      </c>
      <c r="K426" s="1">
        <v>45853</v>
      </c>
    </row>
    <row r="427" spans="1:11" x14ac:dyDescent="0.35">
      <c r="A427" t="s">
        <v>612</v>
      </c>
      <c r="B427" s="1">
        <v>45870</v>
      </c>
      <c r="C427" t="s">
        <v>613</v>
      </c>
      <c r="D427" t="s">
        <v>142</v>
      </c>
      <c r="E427" s="2">
        <v>500</v>
      </c>
      <c r="F427" s="2">
        <v>6500</v>
      </c>
      <c r="G427" s="2">
        <v>10.88</v>
      </c>
      <c r="H427" s="2">
        <v>70720</v>
      </c>
      <c r="I427" s="2" t="s">
        <v>46</v>
      </c>
      <c r="J427" s="2" t="s">
        <v>118</v>
      </c>
      <c r="K427" s="1">
        <v>45885</v>
      </c>
    </row>
    <row r="428" spans="1:11" x14ac:dyDescent="0.35">
      <c r="A428" t="s">
        <v>614</v>
      </c>
      <c r="B428" s="1">
        <v>45870</v>
      </c>
      <c r="C428" t="s">
        <v>613</v>
      </c>
      <c r="D428" t="s">
        <v>144</v>
      </c>
      <c r="E428" s="2">
        <v>1000</v>
      </c>
      <c r="F428" s="2">
        <v>6000</v>
      </c>
      <c r="G428" s="2">
        <v>5.04</v>
      </c>
      <c r="H428" s="2">
        <v>30240</v>
      </c>
      <c r="I428" s="2" t="s">
        <v>39</v>
      </c>
      <c r="J428" s="2" t="s">
        <v>127</v>
      </c>
      <c r="K428" s="1">
        <v>45888</v>
      </c>
    </row>
    <row r="429" spans="1:11" x14ac:dyDescent="0.35">
      <c r="A429" t="s">
        <v>615</v>
      </c>
      <c r="B429" s="1">
        <v>45870</v>
      </c>
      <c r="C429" t="s">
        <v>613</v>
      </c>
      <c r="D429" t="s">
        <v>146</v>
      </c>
      <c r="E429" s="2">
        <v>1000</v>
      </c>
      <c r="F429" s="2">
        <v>5000</v>
      </c>
      <c r="G429" s="2">
        <v>2.4700000000000002</v>
      </c>
      <c r="H429" s="2">
        <v>12350</v>
      </c>
      <c r="I429" s="2" t="s">
        <v>34</v>
      </c>
      <c r="J429" s="2" t="s">
        <v>127</v>
      </c>
      <c r="K429" s="1">
        <v>45890</v>
      </c>
    </row>
    <row r="430" spans="1:11" x14ac:dyDescent="0.35">
      <c r="A430" t="s">
        <v>616</v>
      </c>
      <c r="B430" s="1">
        <v>45870</v>
      </c>
      <c r="C430" t="s">
        <v>613</v>
      </c>
      <c r="D430" t="s">
        <v>148</v>
      </c>
      <c r="E430" s="2">
        <v>1000</v>
      </c>
      <c r="F430" s="2">
        <v>6000</v>
      </c>
      <c r="G430" s="2">
        <v>3.52</v>
      </c>
      <c r="H430" s="2">
        <v>21120</v>
      </c>
      <c r="I430" s="2" t="s">
        <v>34</v>
      </c>
      <c r="J430" s="2" t="s">
        <v>127</v>
      </c>
      <c r="K430" s="1">
        <v>45888</v>
      </c>
    </row>
    <row r="431" spans="1:11" x14ac:dyDescent="0.35">
      <c r="A431" t="s">
        <v>617</v>
      </c>
      <c r="B431" s="1">
        <v>45870</v>
      </c>
      <c r="C431" t="s">
        <v>613</v>
      </c>
      <c r="D431" t="s">
        <v>150</v>
      </c>
      <c r="E431" s="2">
        <v>500</v>
      </c>
      <c r="F431" s="2">
        <v>4500</v>
      </c>
      <c r="G431" s="2">
        <v>7.04</v>
      </c>
      <c r="H431" s="2">
        <v>31680</v>
      </c>
      <c r="I431" s="2" t="s">
        <v>43</v>
      </c>
      <c r="J431" s="2" t="s">
        <v>118</v>
      </c>
      <c r="K431" s="1">
        <v>45890</v>
      </c>
    </row>
    <row r="432" spans="1:11" x14ac:dyDescent="0.35">
      <c r="A432" t="s">
        <v>618</v>
      </c>
      <c r="B432" s="1">
        <v>45870</v>
      </c>
      <c r="C432" t="s">
        <v>613</v>
      </c>
      <c r="D432" t="s">
        <v>116</v>
      </c>
      <c r="E432" s="2">
        <v>500</v>
      </c>
      <c r="F432" s="2">
        <v>11500</v>
      </c>
      <c r="G432" s="2">
        <v>6.96</v>
      </c>
      <c r="H432" s="2">
        <v>80040</v>
      </c>
      <c r="I432" s="2" t="s">
        <v>46</v>
      </c>
      <c r="J432" s="2" t="s">
        <v>118</v>
      </c>
      <c r="K432" s="1">
        <v>45886</v>
      </c>
    </row>
    <row r="433" spans="1:11" x14ac:dyDescent="0.35">
      <c r="A433" t="s">
        <v>619</v>
      </c>
      <c r="B433" s="1">
        <v>45870</v>
      </c>
      <c r="C433" t="s">
        <v>613</v>
      </c>
      <c r="D433" t="s">
        <v>119</v>
      </c>
      <c r="E433" s="2">
        <v>500</v>
      </c>
      <c r="F433" s="2">
        <v>11000</v>
      </c>
      <c r="G433" s="2">
        <v>10.15</v>
      </c>
      <c r="H433" s="2">
        <v>111650</v>
      </c>
      <c r="I433" s="2" t="s">
        <v>46</v>
      </c>
      <c r="J433" s="2" t="s">
        <v>118</v>
      </c>
      <c r="K433" s="1">
        <v>45891</v>
      </c>
    </row>
    <row r="434" spans="1:11" x14ac:dyDescent="0.35">
      <c r="A434" t="s">
        <v>620</v>
      </c>
      <c r="B434" s="1">
        <v>45870</v>
      </c>
      <c r="C434" t="s">
        <v>613</v>
      </c>
      <c r="D434" t="s">
        <v>121</v>
      </c>
      <c r="E434" s="2">
        <v>500</v>
      </c>
      <c r="F434" s="2">
        <v>9500</v>
      </c>
      <c r="G434" s="2">
        <v>4.5</v>
      </c>
      <c r="H434" s="2">
        <v>42750</v>
      </c>
      <c r="I434" s="2" t="s">
        <v>52</v>
      </c>
      <c r="J434" s="2" t="s">
        <v>118</v>
      </c>
      <c r="K434" s="1">
        <v>45891</v>
      </c>
    </row>
    <row r="435" spans="1:11" x14ac:dyDescent="0.35">
      <c r="A435" t="s">
        <v>621</v>
      </c>
      <c r="B435" s="1">
        <v>45870</v>
      </c>
      <c r="C435" t="s">
        <v>613</v>
      </c>
      <c r="D435" t="s">
        <v>123</v>
      </c>
      <c r="E435" s="2">
        <v>500</v>
      </c>
      <c r="F435" s="2">
        <v>17500</v>
      </c>
      <c r="G435" s="2">
        <v>5.12</v>
      </c>
      <c r="H435" s="2">
        <v>89600</v>
      </c>
      <c r="I435" s="2" t="s">
        <v>46</v>
      </c>
      <c r="J435" s="2" t="s">
        <v>118</v>
      </c>
      <c r="K435" s="1">
        <v>45891</v>
      </c>
    </row>
    <row r="436" spans="1:11" x14ac:dyDescent="0.35">
      <c r="A436" t="s">
        <v>622</v>
      </c>
      <c r="B436" s="1">
        <v>45870</v>
      </c>
      <c r="C436" t="s">
        <v>613</v>
      </c>
      <c r="D436" t="s">
        <v>125</v>
      </c>
      <c r="E436" s="2">
        <v>1000</v>
      </c>
      <c r="F436" s="2">
        <v>14000</v>
      </c>
      <c r="G436" s="2">
        <v>3.96</v>
      </c>
      <c r="H436" s="2">
        <v>55440</v>
      </c>
      <c r="I436" s="2" t="s">
        <v>34</v>
      </c>
      <c r="J436" s="2" t="s">
        <v>127</v>
      </c>
      <c r="K436" s="1">
        <v>45885</v>
      </c>
    </row>
    <row r="437" spans="1:11" x14ac:dyDescent="0.35">
      <c r="A437" t="s">
        <v>623</v>
      </c>
      <c r="B437" s="1">
        <v>45870</v>
      </c>
      <c r="C437" t="s">
        <v>613</v>
      </c>
      <c r="D437" t="s">
        <v>128</v>
      </c>
      <c r="E437" s="2">
        <v>1000</v>
      </c>
      <c r="F437" s="2">
        <v>14000</v>
      </c>
      <c r="G437" s="2">
        <v>3.5</v>
      </c>
      <c r="H437" s="2">
        <v>49000</v>
      </c>
      <c r="I437" s="2" t="s">
        <v>34</v>
      </c>
      <c r="J437" s="2" t="s">
        <v>127</v>
      </c>
      <c r="K437" s="1">
        <v>45881</v>
      </c>
    </row>
    <row r="438" spans="1:11" x14ac:dyDescent="0.35">
      <c r="A438" t="s">
        <v>624</v>
      </c>
      <c r="B438" s="1">
        <v>45870</v>
      </c>
      <c r="C438" t="s">
        <v>613</v>
      </c>
      <c r="D438" t="s">
        <v>130</v>
      </c>
      <c r="E438" s="2">
        <v>1000</v>
      </c>
      <c r="F438" s="2">
        <v>15000</v>
      </c>
      <c r="G438" s="2">
        <v>2.96</v>
      </c>
      <c r="H438" s="2">
        <v>44400</v>
      </c>
      <c r="I438" s="2" t="s">
        <v>34</v>
      </c>
      <c r="J438" s="2" t="s">
        <v>127</v>
      </c>
      <c r="K438" s="1">
        <v>45885</v>
      </c>
    </row>
    <row r="439" spans="1:11" x14ac:dyDescent="0.35">
      <c r="A439" t="s">
        <v>625</v>
      </c>
      <c r="B439" s="1">
        <v>45870</v>
      </c>
      <c r="C439" t="s">
        <v>613</v>
      </c>
      <c r="D439" t="s">
        <v>132</v>
      </c>
      <c r="E439" s="2">
        <v>1000</v>
      </c>
      <c r="F439" s="2">
        <v>10000</v>
      </c>
      <c r="G439" s="2">
        <v>4.8</v>
      </c>
      <c r="H439" s="2">
        <v>48000</v>
      </c>
      <c r="I439" s="2" t="s">
        <v>39</v>
      </c>
      <c r="J439" s="2" t="s">
        <v>127</v>
      </c>
      <c r="K439" s="1">
        <v>45888</v>
      </c>
    </row>
    <row r="440" spans="1:11" x14ac:dyDescent="0.35">
      <c r="A440" t="s">
        <v>626</v>
      </c>
      <c r="B440" s="1">
        <v>45870</v>
      </c>
      <c r="C440" t="s">
        <v>613</v>
      </c>
      <c r="D440" t="s">
        <v>134</v>
      </c>
      <c r="E440" s="2">
        <v>500</v>
      </c>
      <c r="F440" s="2">
        <v>11000</v>
      </c>
      <c r="G440" s="2">
        <v>5.94</v>
      </c>
      <c r="H440" s="2">
        <v>65340</v>
      </c>
      <c r="I440" s="2" t="s">
        <v>43</v>
      </c>
      <c r="J440" s="2" t="s">
        <v>118</v>
      </c>
      <c r="K440" s="1">
        <v>45886</v>
      </c>
    </row>
    <row r="441" spans="1:11" x14ac:dyDescent="0.35">
      <c r="A441" t="s">
        <v>627</v>
      </c>
      <c r="B441" s="1">
        <v>45870</v>
      </c>
      <c r="C441" t="s">
        <v>613</v>
      </c>
      <c r="D441" t="s">
        <v>136</v>
      </c>
      <c r="E441" s="2">
        <v>1000</v>
      </c>
      <c r="F441" s="2">
        <v>14000</v>
      </c>
      <c r="G441" s="2">
        <v>2.4700000000000002</v>
      </c>
      <c r="H441" s="2">
        <v>34580</v>
      </c>
      <c r="I441" s="2" t="s">
        <v>34</v>
      </c>
      <c r="J441" s="2" t="s">
        <v>127</v>
      </c>
      <c r="K441" s="1">
        <v>45889</v>
      </c>
    </row>
    <row r="442" spans="1:11" x14ac:dyDescent="0.35">
      <c r="A442" t="s">
        <v>628</v>
      </c>
      <c r="B442" s="1">
        <v>45870</v>
      </c>
      <c r="C442" t="s">
        <v>613</v>
      </c>
      <c r="D442" t="s">
        <v>138</v>
      </c>
      <c r="E442" s="2">
        <v>1000</v>
      </c>
      <c r="F442" s="2">
        <v>11000</v>
      </c>
      <c r="G442" s="2">
        <v>1.8</v>
      </c>
      <c r="H442" s="2">
        <v>19800</v>
      </c>
      <c r="I442" s="2" t="s">
        <v>34</v>
      </c>
      <c r="J442" s="2" t="s">
        <v>127</v>
      </c>
      <c r="K442" s="1">
        <v>45884</v>
      </c>
    </row>
    <row r="443" spans="1:11" x14ac:dyDescent="0.35">
      <c r="A443" t="s">
        <v>629</v>
      </c>
      <c r="B443" s="1">
        <v>45870</v>
      </c>
      <c r="C443" t="s">
        <v>613</v>
      </c>
      <c r="D443" t="s">
        <v>140</v>
      </c>
      <c r="E443" s="2">
        <v>1000</v>
      </c>
      <c r="F443" s="2">
        <v>12000</v>
      </c>
      <c r="G443" s="2">
        <v>2.85</v>
      </c>
      <c r="H443" s="2">
        <v>34200</v>
      </c>
      <c r="I443" s="2" t="s">
        <v>34</v>
      </c>
      <c r="J443" s="2" t="s">
        <v>127</v>
      </c>
      <c r="K443" s="1">
        <v>45883</v>
      </c>
    </row>
    <row r="444" spans="1:11" x14ac:dyDescent="0.35">
      <c r="A444" t="s">
        <v>630</v>
      </c>
      <c r="B444" s="1">
        <v>45901</v>
      </c>
      <c r="C444" t="s">
        <v>631</v>
      </c>
      <c r="D444" t="s">
        <v>142</v>
      </c>
      <c r="E444" s="2">
        <v>500</v>
      </c>
      <c r="F444" s="2">
        <v>6500</v>
      </c>
      <c r="G444" s="2">
        <v>10.88</v>
      </c>
      <c r="H444" s="2">
        <v>70720</v>
      </c>
      <c r="I444" s="2" t="s">
        <v>46</v>
      </c>
      <c r="J444" s="2" t="s">
        <v>118</v>
      </c>
      <c r="K444" s="1">
        <v>45915</v>
      </c>
    </row>
    <row r="445" spans="1:11" x14ac:dyDescent="0.35">
      <c r="A445" t="s">
        <v>632</v>
      </c>
      <c r="B445" s="1">
        <v>45901</v>
      </c>
      <c r="C445" t="s">
        <v>631</v>
      </c>
      <c r="D445" t="s">
        <v>144</v>
      </c>
      <c r="E445" s="2">
        <v>1000</v>
      </c>
      <c r="F445" s="2">
        <v>6000</v>
      </c>
      <c r="G445" s="2">
        <v>5.04</v>
      </c>
      <c r="H445" s="2">
        <v>30240</v>
      </c>
      <c r="I445" s="2" t="s">
        <v>39</v>
      </c>
      <c r="J445" s="2" t="s">
        <v>127</v>
      </c>
      <c r="K445" s="1">
        <v>45918</v>
      </c>
    </row>
    <row r="446" spans="1:11" x14ac:dyDescent="0.35">
      <c r="A446" t="s">
        <v>633</v>
      </c>
      <c r="B446" s="1">
        <v>45901</v>
      </c>
      <c r="C446" t="s">
        <v>631</v>
      </c>
      <c r="D446" t="s">
        <v>146</v>
      </c>
      <c r="E446" s="2">
        <v>1000</v>
      </c>
      <c r="F446" s="2">
        <v>5000</v>
      </c>
      <c r="G446" s="2">
        <v>2.4700000000000002</v>
      </c>
      <c r="H446" s="2">
        <v>12350</v>
      </c>
      <c r="I446" s="2" t="s">
        <v>34</v>
      </c>
      <c r="J446" s="2" t="s">
        <v>127</v>
      </c>
      <c r="K446" s="1">
        <v>45919</v>
      </c>
    </row>
    <row r="447" spans="1:11" x14ac:dyDescent="0.35">
      <c r="A447" t="s">
        <v>634</v>
      </c>
      <c r="B447" s="1">
        <v>45901</v>
      </c>
      <c r="C447" t="s">
        <v>631</v>
      </c>
      <c r="D447" t="s">
        <v>148</v>
      </c>
      <c r="E447" s="2">
        <v>1000</v>
      </c>
      <c r="F447" s="2">
        <v>6000</v>
      </c>
      <c r="G447" s="2">
        <v>3.52</v>
      </c>
      <c r="H447" s="2">
        <v>21120</v>
      </c>
      <c r="I447" s="2" t="s">
        <v>34</v>
      </c>
      <c r="J447" s="2" t="s">
        <v>127</v>
      </c>
      <c r="K447" s="1">
        <v>45919</v>
      </c>
    </row>
    <row r="448" spans="1:11" x14ac:dyDescent="0.35">
      <c r="A448" t="s">
        <v>635</v>
      </c>
      <c r="B448" s="1">
        <v>45901</v>
      </c>
      <c r="C448" t="s">
        <v>631</v>
      </c>
      <c r="D448" t="s">
        <v>150</v>
      </c>
      <c r="E448" s="2">
        <v>500</v>
      </c>
      <c r="F448" s="2">
        <v>4500</v>
      </c>
      <c r="G448" s="2">
        <v>7.04</v>
      </c>
      <c r="H448" s="2">
        <v>31680</v>
      </c>
      <c r="I448" s="2" t="s">
        <v>43</v>
      </c>
      <c r="J448" s="2" t="s">
        <v>118</v>
      </c>
      <c r="K448" s="1">
        <v>45921</v>
      </c>
    </row>
    <row r="449" spans="1:11" x14ac:dyDescent="0.35">
      <c r="A449" t="s">
        <v>636</v>
      </c>
      <c r="B449" s="1">
        <v>45901</v>
      </c>
      <c r="C449" t="s">
        <v>631</v>
      </c>
      <c r="D449" t="s">
        <v>116</v>
      </c>
      <c r="E449" s="2">
        <v>500</v>
      </c>
      <c r="F449" s="2">
        <v>11500</v>
      </c>
      <c r="G449" s="2">
        <v>6.96</v>
      </c>
      <c r="H449" s="2">
        <v>80040</v>
      </c>
      <c r="I449" s="2" t="s">
        <v>46</v>
      </c>
      <c r="J449" s="2" t="s">
        <v>118</v>
      </c>
      <c r="K449" s="1">
        <v>45917</v>
      </c>
    </row>
    <row r="450" spans="1:11" x14ac:dyDescent="0.35">
      <c r="A450" t="s">
        <v>637</v>
      </c>
      <c r="B450" s="1">
        <v>45901</v>
      </c>
      <c r="C450" t="s">
        <v>631</v>
      </c>
      <c r="D450" t="s">
        <v>119</v>
      </c>
      <c r="E450" s="2">
        <v>500</v>
      </c>
      <c r="F450" s="2">
        <v>11000</v>
      </c>
      <c r="G450" s="2">
        <v>10.15</v>
      </c>
      <c r="H450" s="2">
        <v>111650</v>
      </c>
      <c r="I450" s="2" t="s">
        <v>46</v>
      </c>
      <c r="J450" s="2" t="s">
        <v>118</v>
      </c>
      <c r="K450" s="1">
        <v>45923</v>
      </c>
    </row>
    <row r="451" spans="1:11" x14ac:dyDescent="0.35">
      <c r="A451" t="s">
        <v>638</v>
      </c>
      <c r="B451" s="1">
        <v>45901</v>
      </c>
      <c r="C451" t="s">
        <v>631</v>
      </c>
      <c r="D451" t="s">
        <v>121</v>
      </c>
      <c r="E451" s="2">
        <v>500</v>
      </c>
      <c r="F451" s="2">
        <v>9500</v>
      </c>
      <c r="G451" s="2">
        <v>4.5</v>
      </c>
      <c r="H451" s="2">
        <v>42750</v>
      </c>
      <c r="I451" s="2" t="s">
        <v>52</v>
      </c>
      <c r="J451" s="2" t="s">
        <v>118</v>
      </c>
      <c r="K451" s="1">
        <v>45921</v>
      </c>
    </row>
    <row r="452" spans="1:11" x14ac:dyDescent="0.35">
      <c r="A452" t="s">
        <v>639</v>
      </c>
      <c r="B452" s="1">
        <v>45901</v>
      </c>
      <c r="C452" t="s">
        <v>631</v>
      </c>
      <c r="D452" t="s">
        <v>123</v>
      </c>
      <c r="E452" s="2">
        <v>500</v>
      </c>
      <c r="F452" s="2">
        <v>17500</v>
      </c>
      <c r="G452" s="2">
        <v>5.12</v>
      </c>
      <c r="H452" s="2">
        <v>89600</v>
      </c>
      <c r="I452" s="2" t="s">
        <v>46</v>
      </c>
      <c r="J452" s="2" t="s">
        <v>118</v>
      </c>
      <c r="K452" s="1">
        <v>45922</v>
      </c>
    </row>
    <row r="453" spans="1:11" x14ac:dyDescent="0.35">
      <c r="A453" t="s">
        <v>640</v>
      </c>
      <c r="B453" s="1">
        <v>45901</v>
      </c>
      <c r="C453" t="s">
        <v>631</v>
      </c>
      <c r="D453" t="s">
        <v>125</v>
      </c>
      <c r="E453" s="2">
        <v>1000</v>
      </c>
      <c r="F453" s="2">
        <v>14000</v>
      </c>
      <c r="G453" s="2">
        <v>3.96</v>
      </c>
      <c r="H453" s="2">
        <v>55440</v>
      </c>
      <c r="I453" s="2" t="s">
        <v>34</v>
      </c>
      <c r="J453" s="2" t="s">
        <v>127</v>
      </c>
      <c r="K453" s="1">
        <v>45916</v>
      </c>
    </row>
    <row r="454" spans="1:11" x14ac:dyDescent="0.35">
      <c r="A454" t="s">
        <v>641</v>
      </c>
      <c r="B454" s="1">
        <v>45901</v>
      </c>
      <c r="C454" t="s">
        <v>631</v>
      </c>
      <c r="D454" t="s">
        <v>128</v>
      </c>
      <c r="E454" s="2">
        <v>1000</v>
      </c>
      <c r="F454" s="2">
        <v>14000</v>
      </c>
      <c r="G454" s="2">
        <v>3.5</v>
      </c>
      <c r="H454" s="2">
        <v>49000</v>
      </c>
      <c r="I454" s="2" t="s">
        <v>34</v>
      </c>
      <c r="J454" s="2" t="s">
        <v>127</v>
      </c>
      <c r="K454" s="1">
        <v>45913</v>
      </c>
    </row>
    <row r="455" spans="1:11" x14ac:dyDescent="0.35">
      <c r="A455" t="s">
        <v>642</v>
      </c>
      <c r="B455" s="1">
        <v>45901</v>
      </c>
      <c r="C455" t="s">
        <v>631</v>
      </c>
      <c r="D455" t="s">
        <v>130</v>
      </c>
      <c r="E455" s="2">
        <v>1000</v>
      </c>
      <c r="F455" s="2">
        <v>15000</v>
      </c>
      <c r="G455" s="2">
        <v>2.96</v>
      </c>
      <c r="H455" s="2">
        <v>44400</v>
      </c>
      <c r="I455" s="2" t="s">
        <v>34</v>
      </c>
      <c r="J455" s="2" t="s">
        <v>127</v>
      </c>
      <c r="K455" s="1">
        <v>45917</v>
      </c>
    </row>
    <row r="456" spans="1:11" x14ac:dyDescent="0.35">
      <c r="A456" t="s">
        <v>643</v>
      </c>
      <c r="B456" s="1">
        <v>45901</v>
      </c>
      <c r="C456" t="s">
        <v>631</v>
      </c>
      <c r="D456" t="s">
        <v>132</v>
      </c>
      <c r="E456" s="2">
        <v>1000</v>
      </c>
      <c r="F456" s="2">
        <v>10000</v>
      </c>
      <c r="G456" s="2">
        <v>4.8</v>
      </c>
      <c r="H456" s="2">
        <v>48000</v>
      </c>
      <c r="I456" s="2" t="s">
        <v>39</v>
      </c>
      <c r="J456" s="2" t="s">
        <v>127</v>
      </c>
      <c r="K456" s="1">
        <v>45921</v>
      </c>
    </row>
    <row r="457" spans="1:11" x14ac:dyDescent="0.35">
      <c r="A457" t="s">
        <v>644</v>
      </c>
      <c r="B457" s="1">
        <v>45901</v>
      </c>
      <c r="C457" t="s">
        <v>631</v>
      </c>
      <c r="D457" t="s">
        <v>134</v>
      </c>
      <c r="E457" s="2">
        <v>500</v>
      </c>
      <c r="F457" s="2">
        <v>11000</v>
      </c>
      <c r="G457" s="2">
        <v>5.94</v>
      </c>
      <c r="H457" s="2">
        <v>65340</v>
      </c>
      <c r="I457" s="2" t="s">
        <v>43</v>
      </c>
      <c r="J457" s="2" t="s">
        <v>118</v>
      </c>
      <c r="K457" s="1">
        <v>45918</v>
      </c>
    </row>
    <row r="458" spans="1:11" x14ac:dyDescent="0.35">
      <c r="A458" t="s">
        <v>645</v>
      </c>
      <c r="B458" s="1">
        <v>45901</v>
      </c>
      <c r="C458" t="s">
        <v>631</v>
      </c>
      <c r="D458" t="s">
        <v>136</v>
      </c>
      <c r="E458" s="2">
        <v>1000</v>
      </c>
      <c r="F458" s="2">
        <v>14000</v>
      </c>
      <c r="G458" s="2">
        <v>2.4700000000000002</v>
      </c>
      <c r="H458" s="2">
        <v>34580</v>
      </c>
      <c r="I458" s="2" t="s">
        <v>34</v>
      </c>
      <c r="J458" s="2" t="s">
        <v>127</v>
      </c>
      <c r="K458" s="1">
        <v>45921</v>
      </c>
    </row>
    <row r="459" spans="1:11" x14ac:dyDescent="0.35">
      <c r="A459" t="s">
        <v>646</v>
      </c>
      <c r="B459" s="1">
        <v>45901</v>
      </c>
      <c r="C459" t="s">
        <v>631</v>
      </c>
      <c r="D459" t="s">
        <v>138</v>
      </c>
      <c r="E459" s="2">
        <v>1000</v>
      </c>
      <c r="F459" s="2">
        <v>11000</v>
      </c>
      <c r="G459" s="2">
        <v>1.8</v>
      </c>
      <c r="H459" s="2">
        <v>19800</v>
      </c>
      <c r="I459" s="2" t="s">
        <v>34</v>
      </c>
      <c r="J459" s="2" t="s">
        <v>127</v>
      </c>
      <c r="K459" s="1">
        <v>45916</v>
      </c>
    </row>
    <row r="460" spans="1:11" x14ac:dyDescent="0.35">
      <c r="A460" t="s">
        <v>647</v>
      </c>
      <c r="B460" s="1">
        <v>45901</v>
      </c>
      <c r="C460" t="s">
        <v>631</v>
      </c>
      <c r="D460" t="s">
        <v>140</v>
      </c>
      <c r="E460" s="2">
        <v>1000</v>
      </c>
      <c r="F460" s="2">
        <v>12000</v>
      </c>
      <c r="G460" s="2">
        <v>2.85</v>
      </c>
      <c r="H460" s="2">
        <v>34200</v>
      </c>
      <c r="I460" s="2" t="s">
        <v>34</v>
      </c>
      <c r="J460" s="2" t="s">
        <v>127</v>
      </c>
      <c r="K460" s="1">
        <v>45914</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87A467FD3BE24CB82EFBE6871FD4E3" ma:contentTypeVersion="3" ma:contentTypeDescription="Crée un document." ma:contentTypeScope="" ma:versionID="1a5fd1c6b3ed7624e0925e21a1d833d4">
  <xsd:schema xmlns:xsd="http://www.w3.org/2001/XMLSchema" xmlns:xs="http://www.w3.org/2001/XMLSchema" xmlns:p="http://schemas.microsoft.com/office/2006/metadata/properties" xmlns:ns2="165e2d99-c8bf-4909-96a9-11c65280bb01" targetNamespace="http://schemas.microsoft.com/office/2006/metadata/properties" ma:root="true" ma:fieldsID="830bcf0d829e698b68938c37122a74c6" ns2:_="">
    <xsd:import namespace="165e2d99-c8bf-4909-96a9-11c65280bb0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5e2d99-c8bf-4909-96a9-11c65280b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C1173B-12CC-4A45-B3D6-32E0F67796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e2d99-c8bf-4909-96a9-11c65280bb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5E24DF-0B51-4F57-95FD-7BE4307E4D03}">
  <ds:schemaRefs>
    <ds:schemaRef ds:uri="http://schemas.microsoft.com/sharepoint/v3/contenttype/forms"/>
  </ds:schemaRefs>
</ds:datastoreItem>
</file>

<file path=customXml/itemProps3.xml><?xml version="1.0" encoding="utf-8"?>
<ds:datastoreItem xmlns:ds="http://schemas.openxmlformats.org/officeDocument/2006/customXml" ds:itemID="{48C80B32-6E14-4FEE-BB9F-112939B1E9E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GUIDE</vt:lpstr>
      <vt:lpstr>PRODUCTION_SITES</vt:lpstr>
      <vt:lpstr>INNOVATION_PIPELINE</vt:lpstr>
      <vt:lpstr>ACQUISITION_PORTFOLIO</vt:lpstr>
      <vt:lpstr>LEAD_TIME_COMPONENTS</vt:lpstr>
      <vt:lpstr>PURCHASE_ORDERS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Balansa</dc:creator>
  <cp:lastModifiedBy>VASILE George</cp:lastModifiedBy>
  <dcterms:created xsi:type="dcterms:W3CDTF">2026-03-02T15:31:15Z</dcterms:created>
  <dcterms:modified xsi:type="dcterms:W3CDTF">2026-05-05T19:18:34Z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0x0101001287A467FD3BE24CB82EFBE6871FD4E3</vt:lpwstr>
  </property>
</Properties>
</file>